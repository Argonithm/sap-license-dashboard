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/>
  <mc:AlternateContent xmlns:mc="http://schemas.openxmlformats.org/markup-compatibility/2006">
    <mc:Choice Requires="x15">
      <x15ac:absPath xmlns:x15ac="http://schemas.microsoft.com/office/spreadsheetml/2010/11/ac" url="C:\Users\Nicolas Vera\Downloads\"/>
    </mc:Choice>
  </mc:AlternateContent>
  <xr:revisionPtr revIDLastSave="0" documentId="13_ncr:1_{B4A3E037-DAFB-4672-8BE6-A85487FE2D3F}" xr6:coauthVersionLast="47" xr6:coauthVersionMax="47" xr10:uidLastSave="{00000000-0000-0000-0000-000000000000}"/>
  <bookViews>
    <workbookView xWindow="-60" yWindow="-16320" windowWidth="29040" windowHeight="15720" xr2:uid="{00000000-000D-0000-FFFF-FFFF00000000}"/>
  </bookViews>
  <sheets>
    <sheet name="Data" sheetId="1" r:id="rId1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J159" i="1" l="1"/>
  <c r="I159" i="1"/>
  <c r="H159" i="1"/>
  <c r="G159" i="1"/>
  <c r="I3" i="1"/>
  <c r="I4" i="1"/>
  <c r="I5" i="1"/>
  <c r="I6" i="1"/>
  <c r="I7" i="1"/>
  <c r="I8" i="1"/>
  <c r="I9" i="1"/>
  <c r="I10" i="1"/>
  <c r="I11" i="1"/>
  <c r="I12" i="1"/>
  <c r="I13" i="1"/>
  <c r="I14" i="1"/>
  <c r="I15" i="1"/>
  <c r="I16" i="1"/>
  <c r="I17" i="1"/>
  <c r="I18" i="1"/>
  <c r="I19" i="1"/>
  <c r="I20" i="1"/>
  <c r="I21" i="1"/>
  <c r="I22" i="1"/>
  <c r="I23" i="1"/>
  <c r="I24" i="1"/>
  <c r="I25" i="1"/>
  <c r="I26" i="1"/>
  <c r="I27" i="1"/>
  <c r="I28" i="1"/>
  <c r="I29" i="1"/>
  <c r="I30" i="1"/>
  <c r="I31" i="1"/>
  <c r="I32" i="1"/>
  <c r="I33" i="1"/>
  <c r="I34" i="1"/>
  <c r="I35" i="1"/>
  <c r="I36" i="1"/>
  <c r="I37" i="1"/>
  <c r="I38" i="1"/>
  <c r="I39" i="1"/>
  <c r="I40" i="1"/>
  <c r="I41" i="1"/>
  <c r="I42" i="1"/>
  <c r="I43" i="1"/>
  <c r="I44" i="1"/>
  <c r="I45" i="1"/>
  <c r="I46" i="1"/>
  <c r="I47" i="1"/>
  <c r="I48" i="1"/>
  <c r="I49" i="1"/>
  <c r="I50" i="1"/>
  <c r="I51" i="1"/>
  <c r="I52" i="1"/>
  <c r="I53" i="1"/>
  <c r="I54" i="1"/>
  <c r="I55" i="1"/>
  <c r="I56" i="1"/>
  <c r="I57" i="1"/>
  <c r="I58" i="1"/>
  <c r="I59" i="1"/>
  <c r="I60" i="1"/>
  <c r="I61" i="1"/>
  <c r="I62" i="1"/>
  <c r="I63" i="1"/>
  <c r="I64" i="1"/>
  <c r="I65" i="1"/>
  <c r="I66" i="1"/>
  <c r="I67" i="1"/>
  <c r="I68" i="1"/>
  <c r="I69" i="1"/>
  <c r="I70" i="1"/>
  <c r="I71" i="1"/>
  <c r="I72" i="1"/>
  <c r="I73" i="1"/>
  <c r="I74" i="1"/>
  <c r="I75" i="1"/>
  <c r="I76" i="1"/>
  <c r="I77" i="1"/>
  <c r="I78" i="1"/>
  <c r="I79" i="1"/>
  <c r="I80" i="1"/>
  <c r="I81" i="1"/>
  <c r="I82" i="1"/>
  <c r="I83" i="1"/>
  <c r="I84" i="1"/>
  <c r="I85" i="1"/>
  <c r="I86" i="1"/>
  <c r="I87" i="1"/>
  <c r="I88" i="1"/>
  <c r="I89" i="1"/>
  <c r="I90" i="1"/>
  <c r="I91" i="1"/>
  <c r="I92" i="1"/>
  <c r="I93" i="1"/>
  <c r="I94" i="1"/>
  <c r="I95" i="1"/>
  <c r="I96" i="1"/>
  <c r="I97" i="1"/>
  <c r="I98" i="1"/>
  <c r="I99" i="1"/>
  <c r="I100" i="1"/>
  <c r="I101" i="1"/>
  <c r="I102" i="1"/>
  <c r="I103" i="1"/>
  <c r="I104" i="1"/>
  <c r="I105" i="1"/>
  <c r="I106" i="1"/>
  <c r="I107" i="1"/>
  <c r="I108" i="1"/>
  <c r="I109" i="1"/>
  <c r="I110" i="1"/>
  <c r="I111" i="1"/>
  <c r="I112" i="1"/>
  <c r="I113" i="1"/>
  <c r="I114" i="1"/>
  <c r="I115" i="1"/>
  <c r="I116" i="1"/>
  <c r="I117" i="1"/>
  <c r="I118" i="1"/>
  <c r="I119" i="1"/>
  <c r="I120" i="1"/>
  <c r="I121" i="1"/>
  <c r="I122" i="1"/>
  <c r="I123" i="1"/>
  <c r="I124" i="1"/>
  <c r="I125" i="1"/>
  <c r="I126" i="1"/>
  <c r="I127" i="1"/>
  <c r="I128" i="1"/>
  <c r="I129" i="1"/>
  <c r="I130" i="1"/>
  <c r="I131" i="1"/>
  <c r="I132" i="1"/>
  <c r="I133" i="1"/>
  <c r="I134" i="1"/>
  <c r="I135" i="1"/>
  <c r="I136" i="1"/>
  <c r="I137" i="1"/>
  <c r="I138" i="1"/>
  <c r="I139" i="1"/>
  <c r="I140" i="1"/>
  <c r="I141" i="1"/>
  <c r="I142" i="1"/>
  <c r="I143" i="1"/>
  <c r="I144" i="1"/>
  <c r="I145" i="1"/>
  <c r="I146" i="1"/>
  <c r="I147" i="1"/>
  <c r="I148" i="1"/>
  <c r="I149" i="1"/>
  <c r="I150" i="1"/>
  <c r="I151" i="1"/>
  <c r="I152" i="1"/>
  <c r="I153" i="1"/>
  <c r="I154" i="1"/>
  <c r="I155" i="1"/>
  <c r="I156" i="1"/>
  <c r="I157" i="1"/>
  <c r="I158" i="1"/>
  <c r="H3" i="1"/>
  <c r="H4" i="1"/>
  <c r="H5" i="1"/>
  <c r="H6" i="1"/>
  <c r="H7" i="1"/>
  <c r="H8" i="1"/>
  <c r="H9" i="1"/>
  <c r="H10" i="1"/>
  <c r="H11" i="1"/>
  <c r="H12" i="1"/>
  <c r="H13" i="1"/>
  <c r="H14" i="1"/>
  <c r="H15" i="1"/>
  <c r="H16" i="1"/>
  <c r="H17" i="1"/>
  <c r="H18" i="1"/>
  <c r="H19" i="1"/>
  <c r="H20" i="1"/>
  <c r="H21" i="1"/>
  <c r="H22" i="1"/>
  <c r="H23" i="1"/>
  <c r="H24" i="1"/>
  <c r="H25" i="1"/>
  <c r="H26" i="1"/>
  <c r="H27" i="1"/>
  <c r="H28" i="1"/>
  <c r="H29" i="1"/>
  <c r="H30" i="1"/>
  <c r="H31" i="1"/>
  <c r="H32" i="1"/>
  <c r="H33" i="1"/>
  <c r="H34" i="1"/>
  <c r="H35" i="1"/>
  <c r="H36" i="1"/>
  <c r="H37" i="1"/>
  <c r="H38" i="1"/>
  <c r="H39" i="1"/>
  <c r="H40" i="1"/>
  <c r="H41" i="1"/>
  <c r="H42" i="1"/>
  <c r="H43" i="1"/>
  <c r="H44" i="1"/>
  <c r="H45" i="1"/>
  <c r="H46" i="1"/>
  <c r="H47" i="1"/>
  <c r="H48" i="1"/>
  <c r="H49" i="1"/>
  <c r="H50" i="1"/>
  <c r="H51" i="1"/>
  <c r="H52" i="1"/>
  <c r="H53" i="1"/>
  <c r="H54" i="1"/>
  <c r="H55" i="1"/>
  <c r="H56" i="1"/>
  <c r="H57" i="1"/>
  <c r="H58" i="1"/>
  <c r="H59" i="1"/>
  <c r="H60" i="1"/>
  <c r="H61" i="1"/>
  <c r="H62" i="1"/>
  <c r="H63" i="1"/>
  <c r="H64" i="1"/>
  <c r="H65" i="1"/>
  <c r="H66" i="1"/>
  <c r="H67" i="1"/>
  <c r="H68" i="1"/>
  <c r="H69" i="1"/>
  <c r="H70" i="1"/>
  <c r="H71" i="1"/>
  <c r="H72" i="1"/>
  <c r="H73" i="1"/>
  <c r="H74" i="1"/>
  <c r="H75" i="1"/>
  <c r="H76" i="1"/>
  <c r="H77" i="1"/>
  <c r="H78" i="1"/>
  <c r="H79" i="1"/>
  <c r="H80" i="1"/>
  <c r="H81" i="1"/>
  <c r="H82" i="1"/>
  <c r="H83" i="1"/>
  <c r="H84" i="1"/>
  <c r="H85" i="1"/>
  <c r="H86" i="1"/>
  <c r="H87" i="1"/>
  <c r="H88" i="1"/>
  <c r="H89" i="1"/>
  <c r="H90" i="1"/>
  <c r="H91" i="1"/>
  <c r="H92" i="1"/>
  <c r="H93" i="1"/>
  <c r="H94" i="1"/>
  <c r="H95" i="1"/>
  <c r="H96" i="1"/>
  <c r="H97" i="1"/>
  <c r="H98" i="1"/>
  <c r="H99" i="1"/>
  <c r="H100" i="1"/>
  <c r="H101" i="1"/>
  <c r="H102" i="1"/>
  <c r="H103" i="1"/>
  <c r="H104" i="1"/>
  <c r="H105" i="1"/>
  <c r="H106" i="1"/>
  <c r="H107" i="1"/>
  <c r="H108" i="1"/>
  <c r="H109" i="1"/>
  <c r="H110" i="1"/>
  <c r="H111" i="1"/>
  <c r="H112" i="1"/>
  <c r="H113" i="1"/>
  <c r="H114" i="1"/>
  <c r="H115" i="1"/>
  <c r="H116" i="1"/>
  <c r="H117" i="1"/>
  <c r="H118" i="1"/>
  <c r="H119" i="1"/>
  <c r="H120" i="1"/>
  <c r="H121" i="1"/>
  <c r="H122" i="1"/>
  <c r="H123" i="1"/>
  <c r="H124" i="1"/>
  <c r="H125" i="1"/>
  <c r="H126" i="1"/>
  <c r="H127" i="1"/>
  <c r="H128" i="1"/>
  <c r="H129" i="1"/>
  <c r="H130" i="1"/>
  <c r="H131" i="1"/>
  <c r="H132" i="1"/>
  <c r="H133" i="1"/>
  <c r="H134" i="1"/>
  <c r="H135" i="1"/>
  <c r="H136" i="1"/>
  <c r="H137" i="1"/>
  <c r="H138" i="1"/>
  <c r="H139" i="1"/>
  <c r="H140" i="1"/>
  <c r="H141" i="1"/>
  <c r="H142" i="1"/>
  <c r="H143" i="1"/>
  <c r="H144" i="1"/>
  <c r="H145" i="1"/>
  <c r="H146" i="1"/>
  <c r="H147" i="1"/>
  <c r="H148" i="1"/>
  <c r="H149" i="1"/>
  <c r="H150" i="1"/>
  <c r="H151" i="1"/>
  <c r="H152" i="1"/>
  <c r="H153" i="1"/>
  <c r="H154" i="1"/>
  <c r="H155" i="1"/>
  <c r="H156" i="1"/>
  <c r="H157" i="1"/>
  <c r="H158" i="1"/>
  <c r="G3" i="1"/>
  <c r="G4" i="1"/>
  <c r="G5" i="1"/>
  <c r="G6" i="1"/>
  <c r="G7" i="1"/>
  <c r="G8" i="1"/>
  <c r="G9" i="1"/>
  <c r="G10" i="1"/>
  <c r="G11" i="1"/>
  <c r="G12" i="1"/>
  <c r="G13" i="1"/>
  <c r="G14" i="1"/>
  <c r="G15" i="1"/>
  <c r="G16" i="1"/>
  <c r="G17" i="1"/>
  <c r="G18" i="1"/>
  <c r="G19" i="1"/>
  <c r="G20" i="1"/>
  <c r="G21" i="1"/>
  <c r="G22" i="1"/>
  <c r="G23" i="1"/>
  <c r="G24" i="1"/>
  <c r="G25" i="1"/>
  <c r="G26" i="1"/>
  <c r="G27" i="1"/>
  <c r="G28" i="1"/>
  <c r="G29" i="1"/>
  <c r="G30" i="1"/>
  <c r="G31" i="1"/>
  <c r="G32" i="1"/>
  <c r="G33" i="1"/>
  <c r="G34" i="1"/>
  <c r="G35" i="1"/>
  <c r="G36" i="1"/>
  <c r="G37" i="1"/>
  <c r="G38" i="1"/>
  <c r="G39" i="1"/>
  <c r="G40" i="1"/>
  <c r="G41" i="1"/>
  <c r="G42" i="1"/>
  <c r="G43" i="1"/>
  <c r="G44" i="1"/>
  <c r="G45" i="1"/>
  <c r="G46" i="1"/>
  <c r="G47" i="1"/>
  <c r="G48" i="1"/>
  <c r="G49" i="1"/>
  <c r="G50" i="1"/>
  <c r="G51" i="1"/>
  <c r="G52" i="1"/>
  <c r="G53" i="1"/>
  <c r="G54" i="1"/>
  <c r="G55" i="1"/>
  <c r="G56" i="1"/>
  <c r="G57" i="1"/>
  <c r="G58" i="1"/>
  <c r="G59" i="1"/>
  <c r="G60" i="1"/>
  <c r="G61" i="1"/>
  <c r="G62" i="1"/>
  <c r="G63" i="1"/>
  <c r="G64" i="1"/>
  <c r="G65" i="1"/>
  <c r="G66" i="1"/>
  <c r="G67" i="1"/>
  <c r="G68" i="1"/>
  <c r="G69" i="1"/>
  <c r="G70" i="1"/>
  <c r="G71" i="1"/>
  <c r="G72" i="1"/>
  <c r="G73" i="1"/>
  <c r="G74" i="1"/>
  <c r="G75" i="1"/>
  <c r="G76" i="1"/>
  <c r="G77" i="1"/>
  <c r="G78" i="1"/>
  <c r="G79" i="1"/>
  <c r="G80" i="1"/>
  <c r="G81" i="1"/>
  <c r="G82" i="1"/>
  <c r="G83" i="1"/>
  <c r="G84" i="1"/>
  <c r="G85" i="1"/>
  <c r="G86" i="1"/>
  <c r="G87" i="1"/>
  <c r="G88" i="1"/>
  <c r="G89" i="1"/>
  <c r="G90" i="1"/>
  <c r="G91" i="1"/>
  <c r="G92" i="1"/>
  <c r="G93" i="1"/>
  <c r="G94" i="1"/>
  <c r="G95" i="1"/>
  <c r="G96" i="1"/>
  <c r="G97" i="1"/>
  <c r="G98" i="1"/>
  <c r="G99" i="1"/>
  <c r="G100" i="1"/>
  <c r="G101" i="1"/>
  <c r="G102" i="1"/>
  <c r="G103" i="1"/>
  <c r="G104" i="1"/>
  <c r="G105" i="1"/>
  <c r="G106" i="1"/>
  <c r="G107" i="1"/>
  <c r="G108" i="1"/>
  <c r="G109" i="1"/>
  <c r="G110" i="1"/>
  <c r="G111" i="1"/>
  <c r="G112" i="1"/>
  <c r="G113" i="1"/>
  <c r="G114" i="1"/>
  <c r="G115" i="1"/>
  <c r="G116" i="1"/>
  <c r="G117" i="1"/>
  <c r="G118" i="1"/>
  <c r="G119" i="1"/>
  <c r="G120" i="1"/>
  <c r="G121" i="1"/>
  <c r="G122" i="1"/>
  <c r="G123" i="1"/>
  <c r="G124" i="1"/>
  <c r="G125" i="1"/>
  <c r="G126" i="1"/>
  <c r="G127" i="1"/>
  <c r="G128" i="1"/>
  <c r="G129" i="1"/>
  <c r="G130" i="1"/>
  <c r="G131" i="1"/>
  <c r="G132" i="1"/>
  <c r="G133" i="1"/>
  <c r="G134" i="1"/>
  <c r="G135" i="1"/>
  <c r="G136" i="1"/>
  <c r="G137" i="1"/>
  <c r="G138" i="1"/>
  <c r="G139" i="1"/>
  <c r="G140" i="1"/>
  <c r="G141" i="1"/>
  <c r="G142" i="1"/>
  <c r="G143" i="1"/>
  <c r="G144" i="1"/>
  <c r="G145" i="1"/>
  <c r="G146" i="1"/>
  <c r="G147" i="1"/>
  <c r="G148" i="1"/>
  <c r="G149" i="1"/>
  <c r="G150" i="1"/>
  <c r="G151" i="1"/>
  <c r="G152" i="1"/>
  <c r="G153" i="1"/>
  <c r="G154" i="1"/>
  <c r="G155" i="1"/>
  <c r="G156" i="1"/>
  <c r="G157" i="1"/>
  <c r="G158" i="1"/>
  <c r="I2" i="1"/>
  <c r="H2" i="1"/>
  <c r="G2" i="1"/>
</calcChain>
</file>

<file path=xl/sharedStrings.xml><?xml version="1.0" encoding="utf-8"?>
<sst xmlns="http://schemas.openxmlformats.org/spreadsheetml/2006/main" count="796" uniqueCount="384">
  <si>
    <t>Usuar.</t>
  </si>
  <si>
    <t>Nombre completo</t>
  </si>
  <si>
    <t>Clasificación de destino</t>
  </si>
  <si>
    <t>Relación</t>
  </si>
  <si>
    <t/>
  </si>
  <si>
    <t>ACACERES</t>
  </si>
  <si>
    <t>CACERES ROJAS ALEX FELIPE</t>
  </si>
  <si>
    <t>GB Advanced Use</t>
  </si>
  <si>
    <t>1/9</t>
  </si>
  <si>
    <t>ACTIVOS</t>
  </si>
  <si>
    <t>ACARUFFO</t>
  </si>
  <si>
    <t>ANTONELLA ROSSANA CARUFFO MADRID</t>
  </si>
  <si>
    <t>GD Self-Service Use</t>
  </si>
  <si>
    <t>3/4</t>
  </si>
  <si>
    <t>ACISTERNA</t>
  </si>
  <si>
    <t>CISTERNA BARRERA AIDA EUGENIA</t>
  </si>
  <si>
    <t>GC Core Use</t>
  </si>
  <si>
    <t>7/15</t>
  </si>
  <si>
    <t>AFLORES</t>
  </si>
  <si>
    <t>FLORES PILQUIL ALEJANDRO ANTONIO</t>
  </si>
  <si>
    <t>2/9</t>
  </si>
  <si>
    <t>AFLORESC</t>
  </si>
  <si>
    <t>ANA FLORES CARVAJAL</t>
  </si>
  <si>
    <t>1/7</t>
  </si>
  <si>
    <t>AGARCIA</t>
  </si>
  <si>
    <t>GARCIA VALENZUELA ALBERTO FELIPE</t>
  </si>
  <si>
    <t>1/15</t>
  </si>
  <si>
    <t>AGIL</t>
  </si>
  <si>
    <t>GIL GOMEZ ALVARO JESUS</t>
  </si>
  <si>
    <t>7/12</t>
  </si>
  <si>
    <t>ALOZANO</t>
  </si>
  <si>
    <t>ALONZO LOZANO</t>
  </si>
  <si>
    <t>AMORALES</t>
  </si>
  <si>
    <t>MORALES SOLAR ANAHIS ANGELICA</t>
  </si>
  <si>
    <t>1/16</t>
  </si>
  <si>
    <t>AMUNOZ</t>
  </si>
  <si>
    <t>MUNOZ MUNOZ ADELFO ARISTIDES</t>
  </si>
  <si>
    <t>1/2</t>
  </si>
  <si>
    <t>AMUZIO</t>
  </si>
  <si>
    <t>MUZIO QUINTEROS ANGEL ALBERTO</t>
  </si>
  <si>
    <t>APEREZ</t>
  </si>
  <si>
    <t>ANGELICA ALEJANDRA PEREZ GARCIA</t>
  </si>
  <si>
    <t>2/6</t>
  </si>
  <si>
    <t>AQUIROZ</t>
  </si>
  <si>
    <t>ALBERTO QUIROZ GONZALEZ</t>
  </si>
  <si>
    <t>1/8</t>
  </si>
  <si>
    <t>ASAAVEDRA</t>
  </si>
  <si>
    <t>SAAVEDRA NAVARRO ALINSON MAIRA</t>
  </si>
  <si>
    <t>ASANCHEZ</t>
  </si>
  <si>
    <t>ANTONIA PAZ SANCHEZ FISCHER</t>
  </si>
  <si>
    <t>AVALENZUELA</t>
  </si>
  <si>
    <t>ANTONIO IGNACIO VALENZUELA PULGAR</t>
  </si>
  <si>
    <t>3/7</t>
  </si>
  <si>
    <t>BBOSS</t>
  </si>
  <si>
    <t>BENJAMIN BOSS</t>
  </si>
  <si>
    <t>2/20</t>
  </si>
  <si>
    <t>BCID</t>
  </si>
  <si>
    <t>CID ARRIAGADA BARBARA BEATRIZ</t>
  </si>
  <si>
    <t>7/13</t>
  </si>
  <si>
    <t>BCISTERNAS</t>
  </si>
  <si>
    <t>CISTERNAS ESCOBAR BORIS BENJAMIN</t>
  </si>
  <si>
    <t>6/11</t>
  </si>
  <si>
    <t>BDUQUE</t>
  </si>
  <si>
    <t>BAYRON DUQUE NAVARRO</t>
  </si>
  <si>
    <t>1/13</t>
  </si>
  <si>
    <t>BSANDOVAL</t>
  </si>
  <si>
    <t>SANDOVAL VILLARROEL BENJAMIN PATRICIO</t>
  </si>
  <si>
    <t>C_BAGUIRRE</t>
  </si>
  <si>
    <t>BERNARDO AGUIRRE</t>
  </si>
  <si>
    <t>2/3</t>
  </si>
  <si>
    <t>C_DESARROLLO</t>
  </si>
  <si>
    <t>DESARROLLO DESARROLLO</t>
  </si>
  <si>
    <t>Sin clasificar</t>
  </si>
  <si>
    <t>1/1</t>
  </si>
  <si>
    <t>EXTERNOS</t>
  </si>
  <si>
    <t>C_MARIAS</t>
  </si>
  <si>
    <t>MARÍA ARIAS</t>
  </si>
  <si>
    <t>C_RLATORRE</t>
  </si>
  <si>
    <t>RICARDO LATORRE</t>
  </si>
  <si>
    <t>C_SSEGURIDAD</t>
  </si>
  <si>
    <t>CBASSO</t>
  </si>
  <si>
    <t>BASSO ALFARO CONSTANZA ANDREA</t>
  </si>
  <si>
    <t>5/14</t>
  </si>
  <si>
    <t>CBOHN</t>
  </si>
  <si>
    <t>CESAR MANUEL BOHN DIAZ</t>
  </si>
  <si>
    <t>CCHACON</t>
  </si>
  <si>
    <t>CHACON ARAVENA CARLA ALEXANDRA</t>
  </si>
  <si>
    <t>8/17</t>
  </si>
  <si>
    <t>CCHAVARRIA</t>
  </si>
  <si>
    <t>CESAR ANTONIO CHAVARRIA HERRERA</t>
  </si>
  <si>
    <t>CDELGADO</t>
  </si>
  <si>
    <t>DELGADO ARCILA CLAUDIA DEL CARMEN</t>
  </si>
  <si>
    <t>1/4</t>
  </si>
  <si>
    <t>CHAEGER</t>
  </si>
  <si>
    <t>HAEGER SEPULVEDA CAMILA PATRICIA</t>
  </si>
  <si>
    <t>3/17</t>
  </si>
  <si>
    <t>CHERNANDEZH</t>
  </si>
  <si>
    <t>CAROLINA AILYN HERNANDEZ HERNANDEZ</t>
  </si>
  <si>
    <t>CHERRERA</t>
  </si>
  <si>
    <t>CAMILA FERNANDA HERRERA ESPINOSA</t>
  </si>
  <si>
    <t>7/14</t>
  </si>
  <si>
    <t>CMUNOZ</t>
  </si>
  <si>
    <t>CARLA ANTONIA MUNOZ LOPEZ</t>
  </si>
  <si>
    <t>CMUNOZM</t>
  </si>
  <si>
    <t>CATALINA ALEJANDRA MUÑOZ MUÑOZ</t>
  </si>
  <si>
    <t>CPINILLA</t>
  </si>
  <si>
    <t>CHRISTIAN PINILLA</t>
  </si>
  <si>
    <t>CRAVANAL</t>
  </si>
  <si>
    <t>CRISTIAN RAVANAL</t>
  </si>
  <si>
    <t>CRIQUELME</t>
  </si>
  <si>
    <t>RIQUELME RODRIGUEZ CONSTANZA BELEN</t>
  </si>
  <si>
    <t>CSALAZAR</t>
  </si>
  <si>
    <t>SALAZAR CACERES CELIA ESTHER</t>
  </si>
  <si>
    <t>8/15</t>
  </si>
  <si>
    <t>CSALINAS</t>
  </si>
  <si>
    <t>CESAR SALINAS</t>
  </si>
  <si>
    <t>CSILVA</t>
  </si>
  <si>
    <t>SILVA ORTIZ CAROLINA ANDREA</t>
  </si>
  <si>
    <t>7/19</t>
  </si>
  <si>
    <t>CSOTO</t>
  </si>
  <si>
    <t>SOTO SANCHEZ CATALINA HAYDEE</t>
  </si>
  <si>
    <t>2/5</t>
  </si>
  <si>
    <t>CVARGAS</t>
  </si>
  <si>
    <t>VARGAS CIFUENTES CHARLOTTE JUDITH</t>
  </si>
  <si>
    <t>CVARGASH</t>
  </si>
  <si>
    <t>VARGAS HUETE CAMILA VICTORIA</t>
  </si>
  <si>
    <t>CZUNIGA</t>
  </si>
  <si>
    <t>ZUNIGA CUADRADO CHRISTIAN MARCELO</t>
  </si>
  <si>
    <t>DMADURO</t>
  </si>
  <si>
    <t>MADURO ORTEGA DIANA CAROLINA</t>
  </si>
  <si>
    <t>DMARTINEZ</t>
  </si>
  <si>
    <t>MARTINEZ MAULEN DIEGO RAUL</t>
  </si>
  <si>
    <t>3/24</t>
  </si>
  <si>
    <t>DMORALES</t>
  </si>
  <si>
    <t>DIEGO IGNACIO MORALES LAGOS</t>
  </si>
  <si>
    <t>EAYALA</t>
  </si>
  <si>
    <t>AYALA ALFARO EDITH VIVIANA</t>
  </si>
  <si>
    <t>1/30</t>
  </si>
  <si>
    <t>EDUQUE</t>
  </si>
  <si>
    <t>DUQUE HERNANDEZ EMA YOLANDA</t>
  </si>
  <si>
    <t>7/18</t>
  </si>
  <si>
    <t>EREYES</t>
  </si>
  <si>
    <t>REYES ARAVENA ELENA OLGA</t>
  </si>
  <si>
    <t>EROSSEL</t>
  </si>
  <si>
    <t>ROSSEL MATUS EDUARDO JAVIER</t>
  </si>
  <si>
    <t>FBELMAR</t>
  </si>
  <si>
    <t>FERNANDO JAVIER BELMAR SHIELDS</t>
  </si>
  <si>
    <t>FMONROY</t>
  </si>
  <si>
    <t>FRANCO DUVAL MONROY BURGOS</t>
  </si>
  <si>
    <t>FNANCUCHEO</t>
  </si>
  <si>
    <t>NANCUCHEO GARAY FRANCISCO ANDRES</t>
  </si>
  <si>
    <t>3/23</t>
  </si>
  <si>
    <t>FRIQUELME</t>
  </si>
  <si>
    <t>FRANCISCA ANDREA RIQUELME ROJAS</t>
  </si>
  <si>
    <t>FSAINTEMARIE</t>
  </si>
  <si>
    <t>SAINTE-MARIE FELIPE</t>
  </si>
  <si>
    <t>23/77</t>
  </si>
  <si>
    <t>FSALFATE</t>
  </si>
  <si>
    <t>FELIX IVAN SALFATE ARANDA</t>
  </si>
  <si>
    <t>FTRONCOSO</t>
  </si>
  <si>
    <t>TRONCOSO ARENAS FRANCISCA PRISCILLA</t>
  </si>
  <si>
    <t>FVALDERRAMA</t>
  </si>
  <si>
    <t>VALDERRAMA SCHALCHLI FERNANDA ROCIO</t>
  </si>
  <si>
    <t>GCALFIN</t>
  </si>
  <si>
    <t>CALFIN LLANQUINAO GREGORIO JOEL</t>
  </si>
  <si>
    <t>4/9</t>
  </si>
  <si>
    <t>GESCOBAR</t>
  </si>
  <si>
    <t>ESCOBAR GUTIERREZ GEORGE WILLIAM</t>
  </si>
  <si>
    <t>GHUERTA</t>
  </si>
  <si>
    <t>HUERTA NUNEZ GEMMA DEL PILAR</t>
  </si>
  <si>
    <t>GLOPEZ</t>
  </si>
  <si>
    <t>GABRIELA ROMINA LOPEZ SANDOVAL</t>
  </si>
  <si>
    <t>GPEREZ</t>
  </si>
  <si>
    <t>GLADYS PEREZ</t>
  </si>
  <si>
    <t>GRETAMAL</t>
  </si>
  <si>
    <t>RETAMAL PARRA GABRIELA DE DIOS</t>
  </si>
  <si>
    <t>IBRISSO</t>
  </si>
  <si>
    <t>BRISSO IGNACIO</t>
  </si>
  <si>
    <t>2/15</t>
  </si>
  <si>
    <t>IESPINOZA</t>
  </si>
  <si>
    <t>IGNACIO ESPINOZA</t>
  </si>
  <si>
    <t>2/23</t>
  </si>
  <si>
    <t>IGARCIA</t>
  </si>
  <si>
    <t>ISIDORA PAZ GARCIA HENRIQUEZ</t>
  </si>
  <si>
    <t>IPAREDES</t>
  </si>
  <si>
    <t>IGNACIO ANDRES PAREDES VILLARROEL</t>
  </si>
  <si>
    <t>8/14</t>
  </si>
  <si>
    <t>JAGUILERA</t>
  </si>
  <si>
    <t>AGUILERA PEREIRA JULIO ANTONIO</t>
  </si>
  <si>
    <t>JALBARRAN</t>
  </si>
  <si>
    <t>ALBARRAN CRUZ JEAN ALEXIS</t>
  </si>
  <si>
    <t>JBARRIENTOS</t>
  </si>
  <si>
    <t>BARRIENTOS ALFARO JAVIER EDUARDO</t>
  </si>
  <si>
    <t>10/23</t>
  </si>
  <si>
    <t>JCABELLO</t>
  </si>
  <si>
    <t>JESSICA CABELLO</t>
  </si>
  <si>
    <t>6/7</t>
  </si>
  <si>
    <t>JCANALES</t>
  </si>
  <si>
    <t>JOAN CANALES</t>
  </si>
  <si>
    <t>JFRANCIA</t>
  </si>
  <si>
    <t>JAVIER FRANCIA FALCÓN</t>
  </si>
  <si>
    <t>14/30</t>
  </si>
  <si>
    <t>JFUENMAYOR</t>
  </si>
  <si>
    <t>JESUS RAFAEL FUENMAYOR MORAO</t>
  </si>
  <si>
    <t>3/8</t>
  </si>
  <si>
    <t>JGUZMAN</t>
  </si>
  <si>
    <t>GUZMAN SEVERINO JESSICA MARIELA</t>
  </si>
  <si>
    <t>JGUZMANG</t>
  </si>
  <si>
    <t>JOSÉ TOMÁS GUZMÁN GARCÍA HUIDOBRO</t>
  </si>
  <si>
    <t>JHUERTA</t>
  </si>
  <si>
    <t>HUERTA FERNANDEZ JORDAN ELIAS</t>
  </si>
  <si>
    <t>JMARTINEZ</t>
  </si>
  <si>
    <t>MARTINEZ HERRERA JAVIERA</t>
  </si>
  <si>
    <t>JMORAN</t>
  </si>
  <si>
    <t>MORAN SOTO JUAN CARLOS</t>
  </si>
  <si>
    <t>JRODRIGUEZ</t>
  </si>
  <si>
    <t>JUAN PABLO RODRIGUEZ MELLA</t>
  </si>
  <si>
    <t>JSERER</t>
  </si>
  <si>
    <t>SERER SANCHEZ JAIME ESTEBAN</t>
  </si>
  <si>
    <t>JTRONCOSO</t>
  </si>
  <si>
    <t>TRONCOSO FLORES JAVIERA JOHANNA</t>
  </si>
  <si>
    <t>JVARGAS</t>
  </si>
  <si>
    <t>VARGAS TRAVER JORGE ANTONIO</t>
  </si>
  <si>
    <t>10/24</t>
  </si>
  <si>
    <t>KGONZALEZ</t>
  </si>
  <si>
    <t>GONZALEZ CARO KARINA ANDREA</t>
  </si>
  <si>
    <t>KKRETSCHMER</t>
  </si>
  <si>
    <t>KRETSCHMER SORUCO KONRAD</t>
  </si>
  <si>
    <t>21/74</t>
  </si>
  <si>
    <t>KLARA</t>
  </si>
  <si>
    <t>LARA LUENGO KEVIN ALEJANDRO</t>
  </si>
  <si>
    <t>LASTETE</t>
  </si>
  <si>
    <t>ASTETE TORRES LAURA ESTER</t>
  </si>
  <si>
    <t>2/28</t>
  </si>
  <si>
    <t>LDELAPAZ</t>
  </si>
  <si>
    <t>LUCAS ANDRES DE LA PAZ CASADO</t>
  </si>
  <si>
    <t>LORTIZ</t>
  </si>
  <si>
    <t>ORTIZ NAVARRO LORENA JACQUELINE</t>
  </si>
  <si>
    <t>4/11</t>
  </si>
  <si>
    <t>LRIQUELME</t>
  </si>
  <si>
    <t>LIDIA ANDREA RIQUELME ROJAS</t>
  </si>
  <si>
    <t>LYONES</t>
  </si>
  <si>
    <t>YONES SILVA LISETTE DAMARY</t>
  </si>
  <si>
    <t>MALBORNOZ</t>
  </si>
  <si>
    <t>MAURICIO ALBORNOZ</t>
  </si>
  <si>
    <t>MCHANILAO</t>
  </si>
  <si>
    <t>MARIA SANDRA LUISA CHANILAO TORRES</t>
  </si>
  <si>
    <t>2/36</t>
  </si>
  <si>
    <t>MCORTES</t>
  </si>
  <si>
    <t>MARCO ANTONIO CORTES CARRERA</t>
  </si>
  <si>
    <t>MDIAZ</t>
  </si>
  <si>
    <t>DIAZ CAMACHO MILAGROS CAROLINA</t>
  </si>
  <si>
    <t>5/9</t>
  </si>
  <si>
    <t>MDONOSO</t>
  </si>
  <si>
    <t>DONOSO LAGOS MYRIAN MARIBEL</t>
  </si>
  <si>
    <t>MEVANS</t>
  </si>
  <si>
    <t>MANUEL EVANS</t>
  </si>
  <si>
    <t>MFLORES</t>
  </si>
  <si>
    <t>MONICA ALEJANDRA FLORES SALAZAR</t>
  </si>
  <si>
    <t>MMARGOTH</t>
  </si>
  <si>
    <t>MARCELA ESPERANZA MARGOTH OYARCE CARRASCO</t>
  </si>
  <si>
    <t>MMORALES</t>
  </si>
  <si>
    <t>MORALES INOSTROZA MANUEL ALEJANDRO</t>
  </si>
  <si>
    <t>4/27</t>
  </si>
  <si>
    <t>MOSORIO</t>
  </si>
  <si>
    <t>OSORIO CARCAMO MARIA JOSE</t>
  </si>
  <si>
    <t>MPINTO</t>
  </si>
  <si>
    <t>MELISSA ANDREA PINTO PARADA</t>
  </si>
  <si>
    <t>MRETAMAL</t>
  </si>
  <si>
    <t>MARIA FERNANDA RETAMAL MORALES</t>
  </si>
  <si>
    <t>MSALAZAR</t>
  </si>
  <si>
    <t>SALAZAR COLLADO MARIO ANTONIO</t>
  </si>
  <si>
    <t>1/3</t>
  </si>
  <si>
    <t>MSALAZARM</t>
  </si>
  <si>
    <t>SALAZAR MORENO MARIA SOLEDAD</t>
  </si>
  <si>
    <t>6/18</t>
  </si>
  <si>
    <t>MSANCHEZ</t>
  </si>
  <si>
    <t>SANCHEZ NARANJO MANUEL IGNACIO</t>
  </si>
  <si>
    <t>MTAPIA</t>
  </si>
  <si>
    <t>MARIANGEL NATALIA TAPIA PORRAS</t>
  </si>
  <si>
    <t>NCARDENAS</t>
  </si>
  <si>
    <t>NATALIA SOLEDAD CARDENAS PINO</t>
  </si>
  <si>
    <t>NDIAZP</t>
  </si>
  <si>
    <t>DIAZ PINTO NATALIA VIOLETA</t>
  </si>
  <si>
    <t>NGARCIA</t>
  </si>
  <si>
    <t>NATALIA RENATA JAVIERA GARCIA FUENTES</t>
  </si>
  <si>
    <t>NHORMAZABAL</t>
  </si>
  <si>
    <t>NATALIE PAMELA HORMAZABAL RUBIO</t>
  </si>
  <si>
    <t>NIRRIBARRA</t>
  </si>
  <si>
    <t>NICOL IRRIBARRA</t>
  </si>
  <si>
    <t>NOSSES</t>
  </si>
  <si>
    <t>NICOLAS ANDRES OSSES SOTOMAYOR</t>
  </si>
  <si>
    <t>8/9</t>
  </si>
  <si>
    <t>NPANGUI</t>
  </si>
  <si>
    <t>PANGUI MARCHANT NICOLE JACQUELINE</t>
  </si>
  <si>
    <t>2/26</t>
  </si>
  <si>
    <t>NSORIANO</t>
  </si>
  <si>
    <t>SORIANO HUENUPIL NICOL ALEJANDRA</t>
  </si>
  <si>
    <t>NTAMBLEY</t>
  </si>
  <si>
    <t>TAMBLEY VIGNES NICOLAS FELIPE</t>
  </si>
  <si>
    <t>NVERA</t>
  </si>
  <si>
    <t>VERA PARRAGUEZ NICOLAS RENIER</t>
  </si>
  <si>
    <t>4/5</t>
  </si>
  <si>
    <t>OARRAIZ</t>
  </si>
  <si>
    <t>ORIANA ANDREA ARRAIZ PEREZ</t>
  </si>
  <si>
    <t>OCARILAO</t>
  </si>
  <si>
    <t>CARILAO HUENCHULLAN OLIVIA LUZ</t>
  </si>
  <si>
    <t>OSIERRA</t>
  </si>
  <si>
    <t>SIERRA HEREDIA OSCAR GABRIEL ANDRES</t>
  </si>
  <si>
    <t>3/12</t>
  </si>
  <si>
    <t>OTORRES</t>
  </si>
  <si>
    <t>TORRES PENARANDA ORLANDO JOSE</t>
  </si>
  <si>
    <t>4/10</t>
  </si>
  <si>
    <t>PALVAREZ</t>
  </si>
  <si>
    <t>ALVAREZ MUNOZ PAULINA IGNACIA</t>
  </si>
  <si>
    <t>PARRATIA</t>
  </si>
  <si>
    <t>ARRATIA NEIRA PATRICIO RODRIGO</t>
  </si>
  <si>
    <t>14/32</t>
  </si>
  <si>
    <t>PBARRERA</t>
  </si>
  <si>
    <t>PEDRO BARRERA</t>
  </si>
  <si>
    <t>PLIRA</t>
  </si>
  <si>
    <t>LIRA PROUST PABLO ESTEBAN</t>
  </si>
  <si>
    <t>21/78</t>
  </si>
  <si>
    <t>POSORIO</t>
  </si>
  <si>
    <t>PETER OSORIO</t>
  </si>
  <si>
    <t>PPEREZ</t>
  </si>
  <si>
    <t>PEREZ LLANQUILEF PAZ</t>
  </si>
  <si>
    <t>PREYES</t>
  </si>
  <si>
    <t>PATRICIO EMILIO REYES BELLO</t>
  </si>
  <si>
    <t>PS4_ADMIN</t>
  </si>
  <si>
    <t>7/7</t>
  </si>
  <si>
    <t>PSALAS</t>
  </si>
  <si>
    <t>SALAS NILO PAZ FERNANDA</t>
  </si>
  <si>
    <t>6/16</t>
  </si>
  <si>
    <t>PURRUTIA</t>
  </si>
  <si>
    <t>PEDRO MATIA URRUTIA CASTILLO</t>
  </si>
  <si>
    <t>RDIAZ</t>
  </si>
  <si>
    <t>ROSARIO DIAZ-DELRIO ABARCA</t>
  </si>
  <si>
    <t>2/25</t>
  </si>
  <si>
    <t>RGUZMAN</t>
  </si>
  <si>
    <t>RAUL GUZMAN SALINAS</t>
  </si>
  <si>
    <t>RPINILLA</t>
  </si>
  <si>
    <t>PINILLA GALVEZ RAYEN ALEJANDRA</t>
  </si>
  <si>
    <t>RPINO</t>
  </si>
  <si>
    <t>RICARDO ENRIQUE PINO PINO</t>
  </si>
  <si>
    <t>RZUE</t>
  </si>
  <si>
    <t>ZUE PAREDES RAFAEL EDUARDO</t>
  </si>
  <si>
    <t>S_INTEGRACIO</t>
  </si>
  <si>
    <t>Reporte SAP</t>
  </si>
  <si>
    <t>TECNICOS</t>
  </si>
  <si>
    <t>SBROCKWAY</t>
  </si>
  <si>
    <t>BROCKWAY MALDONADO SCARLETH ARACELY</t>
  </si>
  <si>
    <t>SCIFUENTES</t>
  </si>
  <si>
    <t>SEBASTIAN ALEJANDRO CIFUENTES CRUZAT</t>
  </si>
  <si>
    <t>SESCARES</t>
  </si>
  <si>
    <t>ESCARES MUNDACA SEBASTIAN</t>
  </si>
  <si>
    <t>SESPINOZA</t>
  </si>
  <si>
    <t>ESPINOZA HENRIQUEZ SEBASTIAN ALEJANDRO</t>
  </si>
  <si>
    <t>SFUENZALIDA</t>
  </si>
  <si>
    <t>FUENZALIDA PAVEZ SABRINA ALEJANDRA</t>
  </si>
  <si>
    <t>SGAETE</t>
  </si>
  <si>
    <t>SERGIO GAETE MANTERO</t>
  </si>
  <si>
    <t>SLEON</t>
  </si>
  <si>
    <t>SIMKIANG ARMANDO LEON LOPEZ</t>
  </si>
  <si>
    <t>SRIQUELME</t>
  </si>
  <si>
    <t>SAUL ALFREDO RIQUELME MUÑOZ</t>
  </si>
  <si>
    <t>SRODRIGUEZ</t>
  </si>
  <si>
    <t>RODRIGUEZ IBARRA SOLEDAD DEL CARMEN</t>
  </si>
  <si>
    <t>8/16</t>
  </si>
  <si>
    <t>TESCALONA</t>
  </si>
  <si>
    <t>ESCALONA ORDENES TANIA EDTIH</t>
  </si>
  <si>
    <t>TFUENTES</t>
  </si>
  <si>
    <t>FUENTES OLGUIN TIARE ALEJANDRA</t>
  </si>
  <si>
    <t>TIBANEZ</t>
  </si>
  <si>
    <t>IBANEZ MAUNA TAMARA ALEJANDRA</t>
  </si>
  <si>
    <t>3/25</t>
  </si>
  <si>
    <t>VGALDAMES</t>
  </si>
  <si>
    <t>VALERIA VALENTINA GALDAMES PEÑA</t>
  </si>
  <si>
    <t>VMAGAÑA</t>
  </si>
  <si>
    <t>VANESSA ESCARLET MAGAÑA REYES</t>
  </si>
  <si>
    <t>VSANGUINETTI</t>
  </si>
  <si>
    <t>SANGUINETTI SAEZ VALERIA</t>
  </si>
  <si>
    <t>YREYES</t>
  </si>
  <si>
    <t>YANIDIRA YESIRE REYES MORALES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</si>
</sst>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Aptos Narrow"/>
      <family val="2"/>
      <scheme val="minor"/>
    </font>
    <font>
      <sz val="11"/>
      <color rgb="FF000000"/>
      <name val="Aptos Narrow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DDDDDD"/>
        <bgColor indexed="64"/>
      </patternFill>
    </fill>
    <fill>
      <patternFill patternType="solid">
        <fgColor rgb="FFFFFF0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7">
    <xf numFmtId="0" fontId="0" fillId="0" borderId="0" xfId="0" applyAlignment="1">
      <alignment vertical="top"/>
    </xf>
    <xf numFmtId="0" fontId="1" fillId="2" borderId="0" xfId="0" applyFont="1" applyFill="1" applyAlignment="1">
      <alignment vertical="top"/>
    </xf>
    <xf numFmtId="0" fontId="1" fillId="0" borderId="0" xfId="0" applyFont="1" applyAlignment="1">
      <alignment vertical="top"/>
    </xf>
    <xf numFmtId="14" fontId="1" fillId="0" borderId="0" xfId="0" applyNumberFormat="1" applyFont="1" applyAlignment="1">
      <alignment vertical="top"/>
    </xf>
    <xf numFmtId="0" fontId="1" fillId="3" borderId="0" xfId="0" applyFont="1" applyFill="1" applyAlignment="1">
      <alignment vertical="top"/>
    </xf>
    <xf numFmtId="14" fontId="1" fillId="3" borderId="0" xfId="0" applyNumberFormat="1" applyFont="1" applyFill="1" applyAlignment="1">
      <alignment vertical="top"/>
    </xf>
    <xf numFmtId="0" fontId="0" fillId="3" borderId="0" xfId="0" applyFill="1" applyAlignment="1">
      <alignment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J159"/>
  <sheetViews>
    <sheetView tabSelected="1" workbookViewId="0">
      <pane ySplit="1" topLeftCell="A29" activePane="bottomLeft" state="frozen"/>
      <selection pane="bottomLeft" activeCell="G2" sqref="G2:I2"/>
    </sheetView>
  </sheetViews>
  <sheetFormatPr baseColWidth="10" defaultColWidth="8.88671875" defaultRowHeight="14.4" x14ac:dyDescent="0.3"/>
  <cols>
    <col min="1" max="1" width="13" bestFit="1" customWidth="1"/>
    <col min="2" max="2" width="42" bestFit="1" customWidth="1"/>
    <col min="3" max="3" width="25" bestFit="1" customWidth="1"/>
    <col min="4" max="5" width="9" bestFit="1" customWidth="1"/>
    <col min="6" max="6" width="11" bestFit="1" customWidth="1"/>
  </cols>
  <sheetData>
    <row r="1" spans="1:9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4</v>
      </c>
    </row>
    <row r="2" spans="1:9" x14ac:dyDescent="0.3">
      <c r="A2" s="2" t="s">
        <v>5</v>
      </c>
      <c r="B2" s="2" t="s">
        <v>6</v>
      </c>
      <c r="C2" s="2" t="s">
        <v>7</v>
      </c>
      <c r="D2" s="2" t="s">
        <v>8</v>
      </c>
      <c r="E2" s="2" t="s">
        <v>9</v>
      </c>
      <c r="F2" s="3">
        <v>46015</v>
      </c>
      <c r="G2">
        <f>IF(C2 ="GB Advanced Use",1,0)</f>
        <v>1</v>
      </c>
      <c r="H2">
        <f>IF(C2 = "GC Core Use",0.2,0)</f>
        <v>0</v>
      </c>
      <c r="I2">
        <f>IF(C2="GD Self-Service Use",0.033,0)</f>
        <v>0</v>
      </c>
    </row>
    <row r="3" spans="1:9" x14ac:dyDescent="0.3">
      <c r="A3" s="2" t="s">
        <v>10</v>
      </c>
      <c r="B3" s="2" t="s">
        <v>11</v>
      </c>
      <c r="C3" s="2" t="s">
        <v>12</v>
      </c>
      <c r="D3" s="2" t="s">
        <v>13</v>
      </c>
      <c r="E3" s="2" t="s">
        <v>9</v>
      </c>
      <c r="F3" s="3">
        <v>46003</v>
      </c>
      <c r="G3">
        <f t="shared" ref="G3:G66" si="0">IF(C3 ="GB Advanced Use",1,0)</f>
        <v>0</v>
      </c>
      <c r="H3">
        <f t="shared" ref="H3:H66" si="1">IF(C3 = "GC Core Use",0.2,0)</f>
        <v>0</v>
      </c>
      <c r="I3">
        <f t="shared" ref="I3:I66" si="2">IF(C3="GD Self-Service Use",0.033,0)</f>
        <v>3.3000000000000002E-2</v>
      </c>
    </row>
    <row r="4" spans="1:9" x14ac:dyDescent="0.3">
      <c r="A4" s="2" t="s">
        <v>14</v>
      </c>
      <c r="B4" s="2" t="s">
        <v>15</v>
      </c>
      <c r="C4" s="2" t="s">
        <v>16</v>
      </c>
      <c r="D4" s="2" t="s">
        <v>17</v>
      </c>
      <c r="E4" s="2" t="s">
        <v>9</v>
      </c>
      <c r="F4" s="3">
        <v>46015</v>
      </c>
      <c r="G4">
        <f t="shared" si="0"/>
        <v>0</v>
      </c>
      <c r="H4">
        <f t="shared" si="1"/>
        <v>0.2</v>
      </c>
      <c r="I4">
        <f t="shared" si="2"/>
        <v>0</v>
      </c>
    </row>
    <row r="5" spans="1:9" x14ac:dyDescent="0.3">
      <c r="A5" s="2" t="s">
        <v>18</v>
      </c>
      <c r="B5" s="2" t="s">
        <v>19</v>
      </c>
      <c r="C5" s="2" t="s">
        <v>16</v>
      </c>
      <c r="D5" s="2" t="s">
        <v>20</v>
      </c>
      <c r="E5" s="2" t="s">
        <v>9</v>
      </c>
      <c r="F5" s="3">
        <v>46015</v>
      </c>
      <c r="G5">
        <f t="shared" si="0"/>
        <v>0</v>
      </c>
      <c r="H5">
        <f t="shared" si="1"/>
        <v>0.2</v>
      </c>
      <c r="I5">
        <f t="shared" si="2"/>
        <v>0</v>
      </c>
    </row>
    <row r="6" spans="1:9" x14ac:dyDescent="0.3">
      <c r="A6" s="2" t="s">
        <v>21</v>
      </c>
      <c r="B6" s="2" t="s">
        <v>22</v>
      </c>
      <c r="C6" s="2" t="s">
        <v>16</v>
      </c>
      <c r="D6" s="2" t="s">
        <v>23</v>
      </c>
      <c r="E6" s="2" t="s">
        <v>9</v>
      </c>
      <c r="F6" s="3">
        <v>46015</v>
      </c>
      <c r="G6">
        <f t="shared" si="0"/>
        <v>0</v>
      </c>
      <c r="H6">
        <f t="shared" si="1"/>
        <v>0.2</v>
      </c>
      <c r="I6">
        <f t="shared" si="2"/>
        <v>0</v>
      </c>
    </row>
    <row r="7" spans="1:9" x14ac:dyDescent="0.3">
      <c r="A7" s="2" t="s">
        <v>24</v>
      </c>
      <c r="B7" s="2" t="s">
        <v>25</v>
      </c>
      <c r="C7" s="2" t="s">
        <v>7</v>
      </c>
      <c r="D7" s="2" t="s">
        <v>26</v>
      </c>
      <c r="E7" s="2" t="s">
        <v>9</v>
      </c>
      <c r="F7" s="3">
        <v>46015</v>
      </c>
      <c r="G7">
        <f t="shared" si="0"/>
        <v>1</v>
      </c>
      <c r="H7">
        <f t="shared" si="1"/>
        <v>0</v>
      </c>
      <c r="I7">
        <f t="shared" si="2"/>
        <v>0</v>
      </c>
    </row>
    <row r="8" spans="1:9" x14ac:dyDescent="0.3">
      <c r="A8" s="2" t="s">
        <v>27</v>
      </c>
      <c r="B8" s="2" t="s">
        <v>28</v>
      </c>
      <c r="C8" s="2" t="s">
        <v>16</v>
      </c>
      <c r="D8" s="2" t="s">
        <v>29</v>
      </c>
      <c r="E8" s="2" t="s">
        <v>9</v>
      </c>
      <c r="F8" s="3">
        <v>46013</v>
      </c>
      <c r="G8">
        <f t="shared" si="0"/>
        <v>0</v>
      </c>
      <c r="H8">
        <f t="shared" si="1"/>
        <v>0.2</v>
      </c>
      <c r="I8">
        <f t="shared" si="2"/>
        <v>0</v>
      </c>
    </row>
    <row r="9" spans="1:9" x14ac:dyDescent="0.3">
      <c r="A9" s="2" t="s">
        <v>30</v>
      </c>
      <c r="B9" s="2" t="s">
        <v>31</v>
      </c>
      <c r="C9" s="2" t="s">
        <v>12</v>
      </c>
      <c r="D9" s="2" t="s">
        <v>13</v>
      </c>
      <c r="E9" s="2" t="s">
        <v>9</v>
      </c>
      <c r="F9" s="3">
        <v>46015</v>
      </c>
      <c r="G9">
        <f t="shared" si="0"/>
        <v>0</v>
      </c>
      <c r="H9">
        <f t="shared" si="1"/>
        <v>0</v>
      </c>
      <c r="I9">
        <f t="shared" si="2"/>
        <v>3.3000000000000002E-2</v>
      </c>
    </row>
    <row r="10" spans="1:9" x14ac:dyDescent="0.3">
      <c r="A10" s="2" t="s">
        <v>32</v>
      </c>
      <c r="B10" s="2" t="s">
        <v>33</v>
      </c>
      <c r="C10" s="2" t="s">
        <v>7</v>
      </c>
      <c r="D10" s="2" t="s">
        <v>34</v>
      </c>
      <c r="E10" s="2" t="s">
        <v>9</v>
      </c>
      <c r="F10" s="3">
        <v>46015</v>
      </c>
      <c r="G10">
        <f t="shared" si="0"/>
        <v>1</v>
      </c>
      <c r="H10">
        <f t="shared" si="1"/>
        <v>0</v>
      </c>
      <c r="I10">
        <f t="shared" si="2"/>
        <v>0</v>
      </c>
    </row>
    <row r="11" spans="1:9" x14ac:dyDescent="0.3">
      <c r="A11" s="2" t="s">
        <v>35</v>
      </c>
      <c r="B11" s="2" t="s">
        <v>36</v>
      </c>
      <c r="C11" s="2" t="s">
        <v>16</v>
      </c>
      <c r="D11" s="2" t="s">
        <v>37</v>
      </c>
      <c r="E11" s="2" t="s">
        <v>9</v>
      </c>
      <c r="F11" s="3">
        <v>46014</v>
      </c>
      <c r="G11">
        <f t="shared" si="0"/>
        <v>0</v>
      </c>
      <c r="H11">
        <f t="shared" si="1"/>
        <v>0.2</v>
      </c>
      <c r="I11">
        <f t="shared" si="2"/>
        <v>0</v>
      </c>
    </row>
    <row r="12" spans="1:9" x14ac:dyDescent="0.3">
      <c r="A12" s="2" t="s">
        <v>38</v>
      </c>
      <c r="B12" s="2" t="s">
        <v>39</v>
      </c>
      <c r="C12" s="2" t="s">
        <v>12</v>
      </c>
      <c r="D12" s="2" t="s">
        <v>13</v>
      </c>
      <c r="E12" s="2" t="s">
        <v>9</v>
      </c>
      <c r="F12" s="3">
        <v>46014</v>
      </c>
      <c r="G12">
        <f t="shared" si="0"/>
        <v>0</v>
      </c>
      <c r="H12">
        <f t="shared" si="1"/>
        <v>0</v>
      </c>
      <c r="I12">
        <f t="shared" si="2"/>
        <v>3.3000000000000002E-2</v>
      </c>
    </row>
    <row r="13" spans="1:9" x14ac:dyDescent="0.3">
      <c r="A13" s="2" t="s">
        <v>40</v>
      </c>
      <c r="B13" s="2" t="s">
        <v>41</v>
      </c>
      <c r="C13" s="2" t="s">
        <v>16</v>
      </c>
      <c r="D13" s="2" t="s">
        <v>42</v>
      </c>
      <c r="E13" s="2" t="s">
        <v>9</v>
      </c>
      <c r="F13" s="3">
        <v>46015</v>
      </c>
      <c r="G13">
        <f t="shared" si="0"/>
        <v>0</v>
      </c>
      <c r="H13">
        <f t="shared" si="1"/>
        <v>0.2</v>
      </c>
      <c r="I13">
        <f t="shared" si="2"/>
        <v>0</v>
      </c>
    </row>
    <row r="14" spans="1:9" x14ac:dyDescent="0.3">
      <c r="A14" s="2" t="s">
        <v>43</v>
      </c>
      <c r="B14" s="2" t="s">
        <v>44</v>
      </c>
      <c r="C14" s="2" t="s">
        <v>16</v>
      </c>
      <c r="D14" s="2" t="s">
        <v>45</v>
      </c>
      <c r="E14" s="2" t="s">
        <v>9</v>
      </c>
      <c r="F14" s="3">
        <v>46015</v>
      </c>
      <c r="G14">
        <f t="shared" si="0"/>
        <v>0</v>
      </c>
      <c r="H14">
        <f t="shared" si="1"/>
        <v>0.2</v>
      </c>
      <c r="I14">
        <f t="shared" si="2"/>
        <v>0</v>
      </c>
    </row>
    <row r="15" spans="1:9" x14ac:dyDescent="0.3">
      <c r="A15" s="2" t="s">
        <v>46</v>
      </c>
      <c r="B15" s="2" t="s">
        <v>47</v>
      </c>
      <c r="C15" s="2" t="s">
        <v>16</v>
      </c>
      <c r="D15" s="2" t="s">
        <v>17</v>
      </c>
      <c r="E15" s="2" t="s">
        <v>9</v>
      </c>
      <c r="F15" s="3">
        <v>46014</v>
      </c>
      <c r="G15">
        <f t="shared" si="0"/>
        <v>0</v>
      </c>
      <c r="H15">
        <f t="shared" si="1"/>
        <v>0.2</v>
      </c>
      <c r="I15">
        <f t="shared" si="2"/>
        <v>0</v>
      </c>
    </row>
    <row r="16" spans="1:9" x14ac:dyDescent="0.3">
      <c r="A16" s="2" t="s">
        <v>48</v>
      </c>
      <c r="B16" s="2" t="s">
        <v>49</v>
      </c>
      <c r="C16" s="2" t="s">
        <v>7</v>
      </c>
      <c r="D16" s="2" t="s">
        <v>8</v>
      </c>
      <c r="E16" s="2" t="s">
        <v>9</v>
      </c>
      <c r="F16" s="3">
        <v>46015</v>
      </c>
      <c r="G16">
        <f t="shared" si="0"/>
        <v>1</v>
      </c>
      <c r="H16">
        <f t="shared" si="1"/>
        <v>0</v>
      </c>
      <c r="I16">
        <f t="shared" si="2"/>
        <v>0</v>
      </c>
    </row>
    <row r="17" spans="1:9" x14ac:dyDescent="0.3">
      <c r="A17" s="2" t="s">
        <v>50</v>
      </c>
      <c r="B17" s="2" t="s">
        <v>51</v>
      </c>
      <c r="C17" s="2" t="s">
        <v>16</v>
      </c>
      <c r="D17" s="2" t="s">
        <v>52</v>
      </c>
      <c r="E17" s="2" t="s">
        <v>9</v>
      </c>
      <c r="F17" s="3">
        <v>46015</v>
      </c>
      <c r="G17">
        <f t="shared" si="0"/>
        <v>0</v>
      </c>
      <c r="H17">
        <f t="shared" si="1"/>
        <v>0.2</v>
      </c>
      <c r="I17">
        <f t="shared" si="2"/>
        <v>0</v>
      </c>
    </row>
    <row r="18" spans="1:9" x14ac:dyDescent="0.3">
      <c r="A18" s="2" t="s">
        <v>53</v>
      </c>
      <c r="B18" s="2" t="s">
        <v>54</v>
      </c>
      <c r="C18" s="2" t="s">
        <v>7</v>
      </c>
      <c r="D18" s="2" t="s">
        <v>55</v>
      </c>
      <c r="E18" s="2" t="s">
        <v>9</v>
      </c>
      <c r="F18" s="3">
        <v>46015</v>
      </c>
      <c r="G18">
        <f t="shared" si="0"/>
        <v>1</v>
      </c>
      <c r="H18">
        <f t="shared" si="1"/>
        <v>0</v>
      </c>
      <c r="I18">
        <f t="shared" si="2"/>
        <v>0</v>
      </c>
    </row>
    <row r="19" spans="1:9" x14ac:dyDescent="0.3">
      <c r="A19" s="2" t="s">
        <v>56</v>
      </c>
      <c r="B19" s="2" t="s">
        <v>57</v>
      </c>
      <c r="C19" s="2" t="s">
        <v>16</v>
      </c>
      <c r="D19" s="2" t="s">
        <v>58</v>
      </c>
      <c r="E19" s="2" t="s">
        <v>9</v>
      </c>
      <c r="F19" s="3">
        <v>46000</v>
      </c>
      <c r="G19">
        <f t="shared" si="0"/>
        <v>0</v>
      </c>
      <c r="H19">
        <f t="shared" si="1"/>
        <v>0.2</v>
      </c>
      <c r="I19">
        <f t="shared" si="2"/>
        <v>0</v>
      </c>
    </row>
    <row r="20" spans="1:9" x14ac:dyDescent="0.3">
      <c r="A20" s="2" t="s">
        <v>59</v>
      </c>
      <c r="B20" s="2" t="s">
        <v>60</v>
      </c>
      <c r="C20" s="2" t="s">
        <v>16</v>
      </c>
      <c r="D20" s="2" t="s">
        <v>61</v>
      </c>
      <c r="E20" s="2" t="s">
        <v>9</v>
      </c>
      <c r="F20" s="3">
        <v>46013</v>
      </c>
      <c r="G20">
        <f t="shared" si="0"/>
        <v>0</v>
      </c>
      <c r="H20">
        <f t="shared" si="1"/>
        <v>0.2</v>
      </c>
      <c r="I20">
        <f t="shared" si="2"/>
        <v>0</v>
      </c>
    </row>
    <row r="21" spans="1:9" x14ac:dyDescent="0.3">
      <c r="A21" s="2" t="s">
        <v>62</v>
      </c>
      <c r="B21" s="2" t="s">
        <v>63</v>
      </c>
      <c r="C21" s="2" t="s">
        <v>7</v>
      </c>
      <c r="D21" s="2" t="s">
        <v>64</v>
      </c>
      <c r="E21" s="2" t="s">
        <v>9</v>
      </c>
      <c r="F21" s="3">
        <v>46015</v>
      </c>
      <c r="G21">
        <f t="shared" si="0"/>
        <v>1</v>
      </c>
      <c r="H21">
        <f t="shared" si="1"/>
        <v>0</v>
      </c>
      <c r="I21">
        <f t="shared" si="2"/>
        <v>0</v>
      </c>
    </row>
    <row r="22" spans="1:9" x14ac:dyDescent="0.3">
      <c r="A22" s="2" t="s">
        <v>65</v>
      </c>
      <c r="B22" s="2" t="s">
        <v>66</v>
      </c>
      <c r="C22" s="2" t="s">
        <v>16</v>
      </c>
      <c r="D22" s="2" t="s">
        <v>37</v>
      </c>
      <c r="E22" s="2" t="s">
        <v>9</v>
      </c>
      <c r="F22" s="3">
        <v>45981</v>
      </c>
      <c r="G22">
        <f t="shared" si="0"/>
        <v>0</v>
      </c>
      <c r="H22">
        <f t="shared" si="1"/>
        <v>0.2</v>
      </c>
      <c r="I22">
        <f t="shared" si="2"/>
        <v>0</v>
      </c>
    </row>
    <row r="23" spans="1:9" x14ac:dyDescent="0.3">
      <c r="A23" s="4" t="s">
        <v>67</v>
      </c>
      <c r="B23" s="4" t="s">
        <v>68</v>
      </c>
      <c r="C23" s="4" t="s">
        <v>7</v>
      </c>
      <c r="D23" s="4" t="s">
        <v>69</v>
      </c>
      <c r="E23" s="4" t="s">
        <v>4</v>
      </c>
      <c r="F23" s="5">
        <v>46015</v>
      </c>
      <c r="G23" s="6">
        <f t="shared" si="0"/>
        <v>1</v>
      </c>
      <c r="H23" s="6">
        <f t="shared" si="1"/>
        <v>0</v>
      </c>
      <c r="I23" s="6">
        <f t="shared" si="2"/>
        <v>0</v>
      </c>
    </row>
    <row r="24" spans="1:9" x14ac:dyDescent="0.3">
      <c r="A24" s="4" t="s">
        <v>70</v>
      </c>
      <c r="B24" s="4" t="s">
        <v>71</v>
      </c>
      <c r="C24" s="4" t="s">
        <v>72</v>
      </c>
      <c r="D24" s="4" t="s">
        <v>73</v>
      </c>
      <c r="E24" s="4" t="s">
        <v>74</v>
      </c>
      <c r="F24" s="5">
        <v>46003</v>
      </c>
      <c r="G24" s="6">
        <f t="shared" si="0"/>
        <v>0</v>
      </c>
      <c r="H24" s="6">
        <f t="shared" si="1"/>
        <v>0</v>
      </c>
      <c r="I24" s="6">
        <f t="shared" si="2"/>
        <v>0</v>
      </c>
    </row>
    <row r="25" spans="1:9" x14ac:dyDescent="0.3">
      <c r="A25" s="4" t="s">
        <v>75</v>
      </c>
      <c r="B25" s="4" t="s">
        <v>76</v>
      </c>
      <c r="C25" s="4" t="s">
        <v>72</v>
      </c>
      <c r="D25" s="4" t="s">
        <v>73</v>
      </c>
      <c r="E25" s="4" t="s">
        <v>4</v>
      </c>
      <c r="F25" s="5">
        <v>45978</v>
      </c>
      <c r="G25" s="6">
        <f t="shared" si="0"/>
        <v>0</v>
      </c>
      <c r="H25" s="6">
        <f t="shared" si="1"/>
        <v>0</v>
      </c>
      <c r="I25" s="6">
        <f t="shared" si="2"/>
        <v>0</v>
      </c>
    </row>
    <row r="26" spans="1:9" x14ac:dyDescent="0.3">
      <c r="A26" s="4" t="s">
        <v>77</v>
      </c>
      <c r="B26" s="4" t="s">
        <v>78</v>
      </c>
      <c r="C26" s="4" t="s">
        <v>72</v>
      </c>
      <c r="D26" s="4" t="s">
        <v>73</v>
      </c>
      <c r="E26" s="4" t="s">
        <v>74</v>
      </c>
      <c r="F26" s="5">
        <v>45986</v>
      </c>
      <c r="G26" s="6">
        <f t="shared" si="0"/>
        <v>0</v>
      </c>
      <c r="H26" s="6">
        <f t="shared" si="1"/>
        <v>0</v>
      </c>
      <c r="I26" s="6">
        <f t="shared" si="2"/>
        <v>0</v>
      </c>
    </row>
    <row r="27" spans="1:9" x14ac:dyDescent="0.3">
      <c r="A27" s="4" t="s">
        <v>79</v>
      </c>
      <c r="B27" s="4" t="s">
        <v>79</v>
      </c>
      <c r="C27" s="4" t="s">
        <v>72</v>
      </c>
      <c r="D27" s="4" t="s">
        <v>73</v>
      </c>
      <c r="E27" s="4" t="s">
        <v>4</v>
      </c>
      <c r="F27" s="5">
        <v>45982</v>
      </c>
      <c r="G27" s="6">
        <f t="shared" si="0"/>
        <v>0</v>
      </c>
      <c r="H27" s="6">
        <f t="shared" si="1"/>
        <v>0</v>
      </c>
      <c r="I27" s="6">
        <f t="shared" si="2"/>
        <v>0</v>
      </c>
    </row>
    <row r="28" spans="1:9" x14ac:dyDescent="0.3">
      <c r="A28" s="2" t="s">
        <v>80</v>
      </c>
      <c r="B28" s="2" t="s">
        <v>81</v>
      </c>
      <c r="C28" s="2" t="s">
        <v>16</v>
      </c>
      <c r="D28" s="2" t="s">
        <v>82</v>
      </c>
      <c r="E28" s="2" t="s">
        <v>9</v>
      </c>
      <c r="F28" s="3">
        <v>46015</v>
      </c>
      <c r="G28">
        <f t="shared" si="0"/>
        <v>0</v>
      </c>
      <c r="H28">
        <f t="shared" si="1"/>
        <v>0.2</v>
      </c>
      <c r="I28">
        <f t="shared" si="2"/>
        <v>0</v>
      </c>
    </row>
    <row r="29" spans="1:9" x14ac:dyDescent="0.3">
      <c r="A29" s="2" t="s">
        <v>83</v>
      </c>
      <c r="B29" s="2" t="s">
        <v>84</v>
      </c>
      <c r="C29" s="2" t="s">
        <v>16</v>
      </c>
      <c r="D29" s="2" t="s">
        <v>45</v>
      </c>
      <c r="E29" s="2" t="s">
        <v>9</v>
      </c>
      <c r="F29" s="3">
        <v>46014</v>
      </c>
      <c r="G29">
        <f t="shared" si="0"/>
        <v>0</v>
      </c>
      <c r="H29">
        <f t="shared" si="1"/>
        <v>0.2</v>
      </c>
      <c r="I29">
        <f t="shared" si="2"/>
        <v>0</v>
      </c>
    </row>
    <row r="30" spans="1:9" x14ac:dyDescent="0.3">
      <c r="A30" s="2" t="s">
        <v>85</v>
      </c>
      <c r="B30" s="2" t="s">
        <v>86</v>
      </c>
      <c r="C30" s="2" t="s">
        <v>16</v>
      </c>
      <c r="D30" s="2" t="s">
        <v>87</v>
      </c>
      <c r="E30" s="2" t="s">
        <v>9</v>
      </c>
      <c r="F30" s="3">
        <v>46015</v>
      </c>
      <c r="G30">
        <f t="shared" si="0"/>
        <v>0</v>
      </c>
      <c r="H30">
        <f t="shared" si="1"/>
        <v>0.2</v>
      </c>
      <c r="I30">
        <f t="shared" si="2"/>
        <v>0</v>
      </c>
    </row>
    <row r="31" spans="1:9" x14ac:dyDescent="0.3">
      <c r="A31" s="2" t="s">
        <v>88</v>
      </c>
      <c r="B31" s="2" t="s">
        <v>89</v>
      </c>
      <c r="C31" s="2" t="s">
        <v>72</v>
      </c>
      <c r="D31" s="2" t="s">
        <v>73</v>
      </c>
      <c r="E31" s="2" t="s">
        <v>9</v>
      </c>
      <c r="F31" s="3">
        <v>45790</v>
      </c>
      <c r="G31">
        <f t="shared" si="0"/>
        <v>0</v>
      </c>
      <c r="H31">
        <f t="shared" si="1"/>
        <v>0</v>
      </c>
      <c r="I31">
        <f t="shared" si="2"/>
        <v>0</v>
      </c>
    </row>
    <row r="32" spans="1:9" x14ac:dyDescent="0.3">
      <c r="A32" s="2" t="s">
        <v>90</v>
      </c>
      <c r="B32" s="2" t="s">
        <v>91</v>
      </c>
      <c r="C32" s="2" t="s">
        <v>16</v>
      </c>
      <c r="D32" s="2" t="s">
        <v>92</v>
      </c>
      <c r="E32" s="2" t="s">
        <v>9</v>
      </c>
      <c r="F32" s="3">
        <v>46014</v>
      </c>
      <c r="G32">
        <f t="shared" si="0"/>
        <v>0</v>
      </c>
      <c r="H32">
        <f t="shared" si="1"/>
        <v>0.2</v>
      </c>
      <c r="I32">
        <f t="shared" si="2"/>
        <v>0</v>
      </c>
    </row>
    <row r="33" spans="1:9" x14ac:dyDescent="0.3">
      <c r="A33" s="2" t="s">
        <v>93</v>
      </c>
      <c r="B33" s="2" t="s">
        <v>94</v>
      </c>
      <c r="C33" s="2" t="s">
        <v>7</v>
      </c>
      <c r="D33" s="2" t="s">
        <v>95</v>
      </c>
      <c r="E33" s="2" t="s">
        <v>9</v>
      </c>
      <c r="F33" s="3">
        <v>46013</v>
      </c>
      <c r="G33">
        <f t="shared" si="0"/>
        <v>1</v>
      </c>
      <c r="H33">
        <f t="shared" si="1"/>
        <v>0</v>
      </c>
      <c r="I33">
        <f t="shared" si="2"/>
        <v>0</v>
      </c>
    </row>
    <row r="34" spans="1:9" x14ac:dyDescent="0.3">
      <c r="A34" s="2" t="s">
        <v>96</v>
      </c>
      <c r="B34" s="2" t="s">
        <v>97</v>
      </c>
      <c r="C34" s="2" t="s">
        <v>16</v>
      </c>
      <c r="D34" s="2" t="s">
        <v>52</v>
      </c>
      <c r="E34" s="2" t="s">
        <v>9</v>
      </c>
      <c r="F34" s="3">
        <v>46015</v>
      </c>
      <c r="G34">
        <f t="shared" si="0"/>
        <v>0</v>
      </c>
      <c r="H34">
        <f t="shared" si="1"/>
        <v>0.2</v>
      </c>
      <c r="I34">
        <f t="shared" si="2"/>
        <v>0</v>
      </c>
    </row>
    <row r="35" spans="1:9" x14ac:dyDescent="0.3">
      <c r="A35" s="2" t="s">
        <v>98</v>
      </c>
      <c r="B35" s="2" t="s">
        <v>99</v>
      </c>
      <c r="C35" s="2" t="s">
        <v>16</v>
      </c>
      <c r="D35" s="2" t="s">
        <v>100</v>
      </c>
      <c r="E35" s="2" t="s">
        <v>9</v>
      </c>
      <c r="F35" s="3">
        <v>46014</v>
      </c>
      <c r="G35">
        <f t="shared" si="0"/>
        <v>0</v>
      </c>
      <c r="H35">
        <f t="shared" si="1"/>
        <v>0.2</v>
      </c>
      <c r="I35">
        <f t="shared" si="2"/>
        <v>0</v>
      </c>
    </row>
    <row r="36" spans="1:9" x14ac:dyDescent="0.3">
      <c r="A36" s="2" t="s">
        <v>101</v>
      </c>
      <c r="B36" s="2" t="s">
        <v>102</v>
      </c>
      <c r="C36" s="2" t="s">
        <v>16</v>
      </c>
      <c r="D36" s="2" t="s">
        <v>17</v>
      </c>
      <c r="E36" s="2" t="s">
        <v>9</v>
      </c>
      <c r="F36" s="3">
        <v>46014</v>
      </c>
      <c r="G36">
        <f t="shared" si="0"/>
        <v>0</v>
      </c>
      <c r="H36">
        <f t="shared" si="1"/>
        <v>0.2</v>
      </c>
      <c r="I36">
        <f t="shared" si="2"/>
        <v>0</v>
      </c>
    </row>
    <row r="37" spans="1:9" x14ac:dyDescent="0.3">
      <c r="A37" s="2" t="s">
        <v>103</v>
      </c>
      <c r="B37" s="2" t="s">
        <v>104</v>
      </c>
      <c r="C37" s="2" t="s">
        <v>12</v>
      </c>
      <c r="D37" s="2" t="s">
        <v>69</v>
      </c>
      <c r="E37" s="2" t="s">
        <v>9</v>
      </c>
      <c r="F37" s="3">
        <v>46015</v>
      </c>
      <c r="G37">
        <f t="shared" si="0"/>
        <v>0</v>
      </c>
      <c r="H37">
        <f t="shared" si="1"/>
        <v>0</v>
      </c>
      <c r="I37">
        <f t="shared" si="2"/>
        <v>3.3000000000000002E-2</v>
      </c>
    </row>
    <row r="38" spans="1:9" x14ac:dyDescent="0.3">
      <c r="A38" s="2" t="s">
        <v>105</v>
      </c>
      <c r="B38" s="2" t="s">
        <v>106</v>
      </c>
      <c r="C38" s="2" t="s">
        <v>12</v>
      </c>
      <c r="D38" s="2" t="s">
        <v>69</v>
      </c>
      <c r="E38" s="2" t="s">
        <v>9</v>
      </c>
      <c r="F38" s="3">
        <v>45897</v>
      </c>
      <c r="G38">
        <f t="shared" si="0"/>
        <v>0</v>
      </c>
      <c r="H38">
        <f t="shared" si="1"/>
        <v>0</v>
      </c>
      <c r="I38">
        <f t="shared" si="2"/>
        <v>3.3000000000000002E-2</v>
      </c>
    </row>
    <row r="39" spans="1:9" x14ac:dyDescent="0.3">
      <c r="A39" s="2" t="s">
        <v>107</v>
      </c>
      <c r="B39" s="2" t="s">
        <v>108</v>
      </c>
      <c r="C39" s="2" t="s">
        <v>12</v>
      </c>
      <c r="D39" s="2" t="s">
        <v>37</v>
      </c>
      <c r="E39" s="2" t="s">
        <v>9</v>
      </c>
      <c r="F39" s="3">
        <v>45819</v>
      </c>
      <c r="G39">
        <f t="shared" si="0"/>
        <v>0</v>
      </c>
      <c r="H39">
        <f t="shared" si="1"/>
        <v>0</v>
      </c>
      <c r="I39">
        <f t="shared" si="2"/>
        <v>3.3000000000000002E-2</v>
      </c>
    </row>
    <row r="40" spans="1:9" x14ac:dyDescent="0.3">
      <c r="A40" s="2" t="s">
        <v>109</v>
      </c>
      <c r="B40" s="2" t="s">
        <v>110</v>
      </c>
      <c r="C40" s="2" t="s">
        <v>16</v>
      </c>
      <c r="D40" s="2" t="s">
        <v>82</v>
      </c>
      <c r="E40" s="2" t="s">
        <v>9</v>
      </c>
      <c r="F40" s="3">
        <v>46015</v>
      </c>
      <c r="G40">
        <f t="shared" si="0"/>
        <v>0</v>
      </c>
      <c r="H40">
        <f t="shared" si="1"/>
        <v>0.2</v>
      </c>
      <c r="I40">
        <f t="shared" si="2"/>
        <v>0</v>
      </c>
    </row>
    <row r="41" spans="1:9" x14ac:dyDescent="0.3">
      <c r="A41" s="2" t="s">
        <v>111</v>
      </c>
      <c r="B41" s="2" t="s">
        <v>112</v>
      </c>
      <c r="C41" s="2" t="s">
        <v>16</v>
      </c>
      <c r="D41" s="2" t="s">
        <v>113</v>
      </c>
      <c r="E41" s="2" t="s">
        <v>9</v>
      </c>
      <c r="F41" s="3">
        <v>46013</v>
      </c>
      <c r="G41">
        <f t="shared" si="0"/>
        <v>0</v>
      </c>
      <c r="H41">
        <f t="shared" si="1"/>
        <v>0.2</v>
      </c>
      <c r="I41">
        <f t="shared" si="2"/>
        <v>0</v>
      </c>
    </row>
    <row r="42" spans="1:9" x14ac:dyDescent="0.3">
      <c r="A42" s="2" t="s">
        <v>114</v>
      </c>
      <c r="B42" s="2" t="s">
        <v>115</v>
      </c>
      <c r="C42" s="2" t="s">
        <v>12</v>
      </c>
      <c r="D42" s="2" t="s">
        <v>37</v>
      </c>
      <c r="E42" s="2" t="s">
        <v>9</v>
      </c>
      <c r="F42" s="3">
        <v>45938</v>
      </c>
      <c r="G42">
        <f t="shared" si="0"/>
        <v>0</v>
      </c>
      <c r="H42">
        <f t="shared" si="1"/>
        <v>0</v>
      </c>
      <c r="I42">
        <f t="shared" si="2"/>
        <v>3.3000000000000002E-2</v>
      </c>
    </row>
    <row r="43" spans="1:9" x14ac:dyDescent="0.3">
      <c r="A43" s="2" t="s">
        <v>116</v>
      </c>
      <c r="B43" s="2" t="s">
        <v>117</v>
      </c>
      <c r="C43" s="2" t="s">
        <v>7</v>
      </c>
      <c r="D43" s="2" t="s">
        <v>118</v>
      </c>
      <c r="E43" s="2" t="s">
        <v>9</v>
      </c>
      <c r="F43" s="3">
        <v>46015</v>
      </c>
      <c r="G43">
        <f t="shared" si="0"/>
        <v>1</v>
      </c>
      <c r="H43">
        <f t="shared" si="1"/>
        <v>0</v>
      </c>
      <c r="I43">
        <f t="shared" si="2"/>
        <v>0</v>
      </c>
    </row>
    <row r="44" spans="1:9" x14ac:dyDescent="0.3">
      <c r="A44" s="2" t="s">
        <v>119</v>
      </c>
      <c r="B44" s="2" t="s">
        <v>120</v>
      </c>
      <c r="C44" s="2" t="s">
        <v>16</v>
      </c>
      <c r="D44" s="2" t="s">
        <v>121</v>
      </c>
      <c r="E44" s="2" t="s">
        <v>9</v>
      </c>
      <c r="F44" s="3">
        <v>46015</v>
      </c>
      <c r="G44">
        <f t="shared" si="0"/>
        <v>0</v>
      </c>
      <c r="H44">
        <f t="shared" si="1"/>
        <v>0.2</v>
      </c>
      <c r="I44">
        <f t="shared" si="2"/>
        <v>0</v>
      </c>
    </row>
    <row r="45" spans="1:9" x14ac:dyDescent="0.3">
      <c r="A45" s="2" t="s">
        <v>122</v>
      </c>
      <c r="B45" s="2" t="s">
        <v>123</v>
      </c>
      <c r="C45" s="2" t="s">
        <v>7</v>
      </c>
      <c r="D45" s="2" t="s">
        <v>64</v>
      </c>
      <c r="E45" s="2" t="s">
        <v>9</v>
      </c>
      <c r="F45" s="3">
        <v>46015</v>
      </c>
      <c r="G45">
        <f t="shared" si="0"/>
        <v>1</v>
      </c>
      <c r="H45">
        <f t="shared" si="1"/>
        <v>0</v>
      </c>
      <c r="I45">
        <f t="shared" si="2"/>
        <v>0</v>
      </c>
    </row>
    <row r="46" spans="1:9" x14ac:dyDescent="0.3">
      <c r="A46" s="2" t="s">
        <v>124</v>
      </c>
      <c r="B46" s="2" t="s">
        <v>125</v>
      </c>
      <c r="C46" s="2" t="s">
        <v>16</v>
      </c>
      <c r="D46" s="2" t="s">
        <v>17</v>
      </c>
      <c r="E46" s="2" t="s">
        <v>9</v>
      </c>
      <c r="F46" s="3">
        <v>46010</v>
      </c>
      <c r="G46">
        <f t="shared" si="0"/>
        <v>0</v>
      </c>
      <c r="H46">
        <f t="shared" si="1"/>
        <v>0.2</v>
      </c>
      <c r="I46">
        <f t="shared" si="2"/>
        <v>0</v>
      </c>
    </row>
    <row r="47" spans="1:9" x14ac:dyDescent="0.3">
      <c r="A47" s="2" t="s">
        <v>126</v>
      </c>
      <c r="B47" s="2" t="s">
        <v>127</v>
      </c>
      <c r="C47" s="2" t="s">
        <v>16</v>
      </c>
      <c r="D47" s="2" t="s">
        <v>45</v>
      </c>
      <c r="E47" s="2" t="s">
        <v>9</v>
      </c>
      <c r="F47" s="3">
        <v>46015</v>
      </c>
      <c r="G47">
        <f t="shared" si="0"/>
        <v>0</v>
      </c>
      <c r="H47">
        <f t="shared" si="1"/>
        <v>0.2</v>
      </c>
      <c r="I47">
        <f t="shared" si="2"/>
        <v>0</v>
      </c>
    </row>
    <row r="48" spans="1:9" x14ac:dyDescent="0.3">
      <c r="A48" s="2" t="s">
        <v>128</v>
      </c>
      <c r="B48" s="2" t="s">
        <v>129</v>
      </c>
      <c r="C48" s="2" t="s">
        <v>16</v>
      </c>
      <c r="D48" s="2" t="s">
        <v>29</v>
      </c>
      <c r="E48" s="2" t="s">
        <v>9</v>
      </c>
      <c r="F48" s="3">
        <v>45996</v>
      </c>
      <c r="G48">
        <f t="shared" si="0"/>
        <v>0</v>
      </c>
      <c r="H48">
        <f t="shared" si="1"/>
        <v>0.2</v>
      </c>
      <c r="I48">
        <f t="shared" si="2"/>
        <v>0</v>
      </c>
    </row>
    <row r="49" spans="1:9" x14ac:dyDescent="0.3">
      <c r="A49" s="2" t="s">
        <v>130</v>
      </c>
      <c r="B49" s="2" t="s">
        <v>131</v>
      </c>
      <c r="C49" s="2" t="s">
        <v>7</v>
      </c>
      <c r="D49" s="2" t="s">
        <v>132</v>
      </c>
      <c r="E49" s="2" t="s">
        <v>9</v>
      </c>
      <c r="F49" s="3">
        <v>46015</v>
      </c>
      <c r="G49">
        <f t="shared" si="0"/>
        <v>1</v>
      </c>
      <c r="H49">
        <f t="shared" si="1"/>
        <v>0</v>
      </c>
      <c r="I49">
        <f t="shared" si="2"/>
        <v>0</v>
      </c>
    </row>
    <row r="50" spans="1:9" x14ac:dyDescent="0.3">
      <c r="A50" s="2" t="s">
        <v>133</v>
      </c>
      <c r="B50" s="2" t="s">
        <v>134</v>
      </c>
      <c r="C50" s="2" t="s">
        <v>72</v>
      </c>
      <c r="D50" s="2" t="s">
        <v>73</v>
      </c>
      <c r="E50" s="2" t="s">
        <v>9</v>
      </c>
      <c r="F50" s="3">
        <v>45933</v>
      </c>
      <c r="G50">
        <f t="shared" si="0"/>
        <v>0</v>
      </c>
      <c r="H50">
        <f t="shared" si="1"/>
        <v>0</v>
      </c>
      <c r="I50">
        <f t="shared" si="2"/>
        <v>0</v>
      </c>
    </row>
    <row r="51" spans="1:9" x14ac:dyDescent="0.3">
      <c r="A51" s="2" t="s">
        <v>135</v>
      </c>
      <c r="B51" s="2" t="s">
        <v>136</v>
      </c>
      <c r="C51" s="2" t="s">
        <v>7</v>
      </c>
      <c r="D51" s="2" t="s">
        <v>137</v>
      </c>
      <c r="E51" s="2" t="s">
        <v>9</v>
      </c>
      <c r="F51" s="3">
        <v>46007</v>
      </c>
      <c r="G51">
        <f t="shared" si="0"/>
        <v>1</v>
      </c>
      <c r="H51">
        <f t="shared" si="1"/>
        <v>0</v>
      </c>
      <c r="I51">
        <f t="shared" si="2"/>
        <v>0</v>
      </c>
    </row>
    <row r="52" spans="1:9" x14ac:dyDescent="0.3">
      <c r="A52" s="2" t="s">
        <v>138</v>
      </c>
      <c r="B52" s="2" t="s">
        <v>139</v>
      </c>
      <c r="C52" s="2" t="s">
        <v>16</v>
      </c>
      <c r="D52" s="2" t="s">
        <v>140</v>
      </c>
      <c r="E52" s="2" t="s">
        <v>9</v>
      </c>
      <c r="F52" s="3">
        <v>46015</v>
      </c>
      <c r="G52">
        <f t="shared" si="0"/>
        <v>0</v>
      </c>
      <c r="H52">
        <f t="shared" si="1"/>
        <v>0.2</v>
      </c>
      <c r="I52">
        <f t="shared" si="2"/>
        <v>0</v>
      </c>
    </row>
    <row r="53" spans="1:9" x14ac:dyDescent="0.3">
      <c r="A53" s="2" t="s">
        <v>141</v>
      </c>
      <c r="B53" s="2" t="s">
        <v>142</v>
      </c>
      <c r="C53" s="2" t="s">
        <v>12</v>
      </c>
      <c r="D53" s="2" t="s">
        <v>13</v>
      </c>
      <c r="E53" s="2" t="s">
        <v>9</v>
      </c>
      <c r="F53" s="3">
        <v>46000</v>
      </c>
      <c r="G53">
        <f t="shared" si="0"/>
        <v>0</v>
      </c>
      <c r="H53">
        <f t="shared" si="1"/>
        <v>0</v>
      </c>
      <c r="I53">
        <f t="shared" si="2"/>
        <v>3.3000000000000002E-2</v>
      </c>
    </row>
    <row r="54" spans="1:9" x14ac:dyDescent="0.3">
      <c r="A54" s="2" t="s">
        <v>143</v>
      </c>
      <c r="B54" s="2" t="s">
        <v>144</v>
      </c>
      <c r="C54" s="2" t="s">
        <v>72</v>
      </c>
      <c r="D54" s="2" t="s">
        <v>73</v>
      </c>
      <c r="E54" s="2" t="s">
        <v>9</v>
      </c>
      <c r="F54" s="3">
        <v>45811</v>
      </c>
      <c r="G54">
        <f t="shared" si="0"/>
        <v>0</v>
      </c>
      <c r="H54">
        <f t="shared" si="1"/>
        <v>0</v>
      </c>
      <c r="I54">
        <f t="shared" si="2"/>
        <v>0</v>
      </c>
    </row>
    <row r="55" spans="1:9" x14ac:dyDescent="0.3">
      <c r="A55" s="2" t="s">
        <v>145</v>
      </c>
      <c r="B55" s="2" t="s">
        <v>146</v>
      </c>
      <c r="C55" s="2" t="s">
        <v>16</v>
      </c>
      <c r="D55" s="2" t="s">
        <v>45</v>
      </c>
      <c r="E55" s="2" t="s">
        <v>9</v>
      </c>
      <c r="F55" s="3">
        <v>46014</v>
      </c>
      <c r="G55">
        <f t="shared" si="0"/>
        <v>0</v>
      </c>
      <c r="H55">
        <f t="shared" si="1"/>
        <v>0.2</v>
      </c>
      <c r="I55">
        <f t="shared" si="2"/>
        <v>0</v>
      </c>
    </row>
    <row r="56" spans="1:9" x14ac:dyDescent="0.3">
      <c r="A56" s="2" t="s">
        <v>147</v>
      </c>
      <c r="B56" s="2" t="s">
        <v>148</v>
      </c>
      <c r="C56" s="2" t="s">
        <v>16</v>
      </c>
      <c r="D56" s="2" t="s">
        <v>58</v>
      </c>
      <c r="E56" s="2" t="s">
        <v>9</v>
      </c>
      <c r="F56" s="3">
        <v>46014</v>
      </c>
      <c r="G56">
        <f t="shared" si="0"/>
        <v>0</v>
      </c>
      <c r="H56">
        <f t="shared" si="1"/>
        <v>0.2</v>
      </c>
      <c r="I56">
        <f t="shared" si="2"/>
        <v>0</v>
      </c>
    </row>
    <row r="57" spans="1:9" x14ac:dyDescent="0.3">
      <c r="A57" s="2" t="s">
        <v>149</v>
      </c>
      <c r="B57" s="2" t="s">
        <v>150</v>
      </c>
      <c r="C57" s="2" t="s">
        <v>7</v>
      </c>
      <c r="D57" s="2" t="s">
        <v>151</v>
      </c>
      <c r="E57" s="2" t="s">
        <v>9</v>
      </c>
      <c r="F57" s="3">
        <v>46015</v>
      </c>
      <c r="G57">
        <f t="shared" si="0"/>
        <v>1</v>
      </c>
      <c r="H57">
        <f t="shared" si="1"/>
        <v>0</v>
      </c>
      <c r="I57">
        <f t="shared" si="2"/>
        <v>0</v>
      </c>
    </row>
    <row r="58" spans="1:9" x14ac:dyDescent="0.3">
      <c r="A58" s="2" t="s">
        <v>152</v>
      </c>
      <c r="B58" s="2" t="s">
        <v>153</v>
      </c>
      <c r="C58" s="2" t="s">
        <v>72</v>
      </c>
      <c r="D58" s="2" t="s">
        <v>73</v>
      </c>
      <c r="E58" s="2" t="s">
        <v>9</v>
      </c>
      <c r="F58" s="3">
        <v>45903</v>
      </c>
      <c r="G58">
        <f t="shared" si="0"/>
        <v>0</v>
      </c>
      <c r="H58">
        <f t="shared" si="1"/>
        <v>0</v>
      </c>
      <c r="I58">
        <f t="shared" si="2"/>
        <v>0</v>
      </c>
    </row>
    <row r="59" spans="1:9" x14ac:dyDescent="0.3">
      <c r="A59" s="2" t="s">
        <v>154</v>
      </c>
      <c r="B59" s="2" t="s">
        <v>155</v>
      </c>
      <c r="C59" s="2" t="s">
        <v>7</v>
      </c>
      <c r="D59" s="2" t="s">
        <v>156</v>
      </c>
      <c r="E59" s="2" t="s">
        <v>9</v>
      </c>
      <c r="F59" s="3">
        <v>46015</v>
      </c>
      <c r="G59">
        <f t="shared" si="0"/>
        <v>1</v>
      </c>
      <c r="H59">
        <f t="shared" si="1"/>
        <v>0</v>
      </c>
      <c r="I59">
        <f t="shared" si="2"/>
        <v>0</v>
      </c>
    </row>
    <row r="60" spans="1:9" x14ac:dyDescent="0.3">
      <c r="A60" s="2" t="s">
        <v>157</v>
      </c>
      <c r="B60" s="2" t="s">
        <v>158</v>
      </c>
      <c r="C60" s="2" t="s">
        <v>16</v>
      </c>
      <c r="D60" s="2" t="s">
        <v>45</v>
      </c>
      <c r="E60" s="2" t="s">
        <v>9</v>
      </c>
      <c r="F60" s="3">
        <v>46015</v>
      </c>
      <c r="G60">
        <f t="shared" si="0"/>
        <v>0</v>
      </c>
      <c r="H60">
        <f t="shared" si="1"/>
        <v>0.2</v>
      </c>
      <c r="I60">
        <f t="shared" si="2"/>
        <v>0</v>
      </c>
    </row>
    <row r="61" spans="1:9" x14ac:dyDescent="0.3">
      <c r="A61" s="2" t="s">
        <v>159</v>
      </c>
      <c r="B61" s="2" t="s">
        <v>160</v>
      </c>
      <c r="C61" s="2" t="s">
        <v>7</v>
      </c>
      <c r="D61" s="2" t="s">
        <v>64</v>
      </c>
      <c r="E61" s="2" t="s">
        <v>9</v>
      </c>
      <c r="F61" s="3">
        <v>46015</v>
      </c>
      <c r="G61">
        <f t="shared" si="0"/>
        <v>1</v>
      </c>
      <c r="H61">
        <f t="shared" si="1"/>
        <v>0</v>
      </c>
      <c r="I61">
        <f t="shared" si="2"/>
        <v>0</v>
      </c>
    </row>
    <row r="62" spans="1:9" x14ac:dyDescent="0.3">
      <c r="A62" s="2" t="s">
        <v>161</v>
      </c>
      <c r="B62" s="2" t="s">
        <v>162</v>
      </c>
      <c r="C62" s="2" t="s">
        <v>7</v>
      </c>
      <c r="D62" s="2" t="s">
        <v>45</v>
      </c>
      <c r="E62" s="2" t="s">
        <v>9</v>
      </c>
      <c r="F62" s="3">
        <v>46013</v>
      </c>
      <c r="G62">
        <f t="shared" si="0"/>
        <v>1</v>
      </c>
      <c r="H62">
        <f t="shared" si="1"/>
        <v>0</v>
      </c>
      <c r="I62">
        <f t="shared" si="2"/>
        <v>0</v>
      </c>
    </row>
    <row r="63" spans="1:9" x14ac:dyDescent="0.3">
      <c r="A63" s="2" t="s">
        <v>163</v>
      </c>
      <c r="B63" s="2" t="s">
        <v>164</v>
      </c>
      <c r="C63" s="2" t="s">
        <v>7</v>
      </c>
      <c r="D63" s="2" t="s">
        <v>165</v>
      </c>
      <c r="E63" s="2" t="s">
        <v>9</v>
      </c>
      <c r="F63" s="3">
        <v>46015</v>
      </c>
      <c r="G63">
        <f t="shared" si="0"/>
        <v>1</v>
      </c>
      <c r="H63">
        <f t="shared" si="1"/>
        <v>0</v>
      </c>
      <c r="I63">
        <f t="shared" si="2"/>
        <v>0</v>
      </c>
    </row>
    <row r="64" spans="1:9" x14ac:dyDescent="0.3">
      <c r="A64" s="2" t="s">
        <v>166</v>
      </c>
      <c r="B64" s="2" t="s">
        <v>167</v>
      </c>
      <c r="C64" s="2" t="s">
        <v>16</v>
      </c>
      <c r="D64" s="2" t="s">
        <v>37</v>
      </c>
      <c r="E64" s="2" t="s">
        <v>9</v>
      </c>
      <c r="F64" s="3">
        <v>46013</v>
      </c>
      <c r="G64">
        <f t="shared" si="0"/>
        <v>0</v>
      </c>
      <c r="H64">
        <f t="shared" si="1"/>
        <v>0.2</v>
      </c>
      <c r="I64">
        <f t="shared" si="2"/>
        <v>0</v>
      </c>
    </row>
    <row r="65" spans="1:9" x14ac:dyDescent="0.3">
      <c r="A65" s="2" t="s">
        <v>168</v>
      </c>
      <c r="B65" s="2" t="s">
        <v>169</v>
      </c>
      <c r="C65" s="2" t="s">
        <v>16</v>
      </c>
      <c r="D65" s="2" t="s">
        <v>17</v>
      </c>
      <c r="E65" s="2" t="s">
        <v>9</v>
      </c>
      <c r="F65" s="3">
        <v>46013</v>
      </c>
      <c r="G65">
        <f t="shared" si="0"/>
        <v>0</v>
      </c>
      <c r="H65">
        <f t="shared" si="1"/>
        <v>0.2</v>
      </c>
      <c r="I65">
        <f t="shared" si="2"/>
        <v>0</v>
      </c>
    </row>
    <row r="66" spans="1:9" x14ac:dyDescent="0.3">
      <c r="A66" s="2" t="s">
        <v>170</v>
      </c>
      <c r="B66" s="2" t="s">
        <v>171</v>
      </c>
      <c r="C66" s="2" t="s">
        <v>16</v>
      </c>
      <c r="D66" s="2" t="s">
        <v>17</v>
      </c>
      <c r="E66" s="2" t="s">
        <v>9</v>
      </c>
      <c r="F66" s="3">
        <v>46013</v>
      </c>
      <c r="G66">
        <f t="shared" si="0"/>
        <v>0</v>
      </c>
      <c r="H66">
        <f t="shared" si="1"/>
        <v>0.2</v>
      </c>
      <c r="I66">
        <f t="shared" si="2"/>
        <v>0</v>
      </c>
    </row>
    <row r="67" spans="1:9" x14ac:dyDescent="0.3">
      <c r="A67" s="2" t="s">
        <v>172</v>
      </c>
      <c r="B67" s="2" t="s">
        <v>173</v>
      </c>
      <c r="C67" s="2" t="s">
        <v>12</v>
      </c>
      <c r="D67" s="2" t="s">
        <v>37</v>
      </c>
      <c r="E67" s="2" t="s">
        <v>9</v>
      </c>
      <c r="F67" s="3">
        <v>46015</v>
      </c>
      <c r="G67">
        <f t="shared" ref="G67:G130" si="3">IF(C67 ="GB Advanced Use",1,0)</f>
        <v>0</v>
      </c>
      <c r="H67">
        <f t="shared" ref="H67:H130" si="4">IF(C67 = "GC Core Use",0.2,0)</f>
        <v>0</v>
      </c>
      <c r="I67">
        <f t="shared" ref="I67:I130" si="5">IF(C67="GD Self-Service Use",0.033,0)</f>
        <v>3.3000000000000002E-2</v>
      </c>
    </row>
    <row r="68" spans="1:9" x14ac:dyDescent="0.3">
      <c r="A68" s="2" t="s">
        <v>174</v>
      </c>
      <c r="B68" s="2" t="s">
        <v>175</v>
      </c>
      <c r="C68" s="2" t="s">
        <v>72</v>
      </c>
      <c r="D68" s="2" t="s">
        <v>73</v>
      </c>
      <c r="E68" s="2" t="s">
        <v>9</v>
      </c>
      <c r="F68" s="2" t="s">
        <v>4</v>
      </c>
      <c r="G68">
        <f t="shared" si="3"/>
        <v>0</v>
      </c>
      <c r="H68">
        <f t="shared" si="4"/>
        <v>0</v>
      </c>
      <c r="I68">
        <f t="shared" si="5"/>
        <v>0</v>
      </c>
    </row>
    <row r="69" spans="1:9" x14ac:dyDescent="0.3">
      <c r="A69" s="2" t="s">
        <v>176</v>
      </c>
      <c r="B69" s="2" t="s">
        <v>177</v>
      </c>
      <c r="C69" s="2" t="s">
        <v>7</v>
      </c>
      <c r="D69" s="2" t="s">
        <v>178</v>
      </c>
      <c r="E69" s="2" t="s">
        <v>9</v>
      </c>
      <c r="F69" s="3">
        <v>46015</v>
      </c>
      <c r="G69">
        <f t="shared" si="3"/>
        <v>1</v>
      </c>
      <c r="H69">
        <f t="shared" si="4"/>
        <v>0</v>
      </c>
      <c r="I69">
        <f t="shared" si="5"/>
        <v>0</v>
      </c>
    </row>
    <row r="70" spans="1:9" x14ac:dyDescent="0.3">
      <c r="A70" s="2" t="s">
        <v>179</v>
      </c>
      <c r="B70" s="2" t="s">
        <v>180</v>
      </c>
      <c r="C70" s="2" t="s">
        <v>7</v>
      </c>
      <c r="D70" s="2" t="s">
        <v>181</v>
      </c>
      <c r="E70" s="2" t="s">
        <v>9</v>
      </c>
      <c r="F70" s="3">
        <v>46014</v>
      </c>
      <c r="G70">
        <f t="shared" si="3"/>
        <v>1</v>
      </c>
      <c r="H70">
        <f t="shared" si="4"/>
        <v>0</v>
      </c>
      <c r="I70">
        <f t="shared" si="5"/>
        <v>0</v>
      </c>
    </row>
    <row r="71" spans="1:9" x14ac:dyDescent="0.3">
      <c r="A71" s="2" t="s">
        <v>182</v>
      </c>
      <c r="B71" s="2" t="s">
        <v>183</v>
      </c>
      <c r="C71" s="2" t="s">
        <v>12</v>
      </c>
      <c r="D71" s="2" t="s">
        <v>13</v>
      </c>
      <c r="E71" s="2" t="s">
        <v>9</v>
      </c>
      <c r="F71" s="3">
        <v>46015</v>
      </c>
      <c r="G71">
        <f t="shared" si="3"/>
        <v>0</v>
      </c>
      <c r="H71">
        <f t="shared" si="4"/>
        <v>0</v>
      </c>
      <c r="I71">
        <f t="shared" si="5"/>
        <v>3.3000000000000002E-2</v>
      </c>
    </row>
    <row r="72" spans="1:9" x14ac:dyDescent="0.3">
      <c r="A72" s="2" t="s">
        <v>184</v>
      </c>
      <c r="B72" s="2" t="s">
        <v>185</v>
      </c>
      <c r="C72" s="2" t="s">
        <v>16</v>
      </c>
      <c r="D72" s="2" t="s">
        <v>186</v>
      </c>
      <c r="E72" s="2" t="s">
        <v>9</v>
      </c>
      <c r="F72" s="3">
        <v>46013</v>
      </c>
      <c r="G72">
        <f t="shared" si="3"/>
        <v>0</v>
      </c>
      <c r="H72">
        <f t="shared" si="4"/>
        <v>0.2</v>
      </c>
      <c r="I72">
        <f t="shared" si="5"/>
        <v>0</v>
      </c>
    </row>
    <row r="73" spans="1:9" x14ac:dyDescent="0.3">
      <c r="A73" s="2" t="s">
        <v>187</v>
      </c>
      <c r="B73" s="2" t="s">
        <v>188</v>
      </c>
      <c r="C73" s="2" t="s">
        <v>16</v>
      </c>
      <c r="D73" s="2" t="s">
        <v>17</v>
      </c>
      <c r="E73" s="2" t="s">
        <v>9</v>
      </c>
      <c r="F73" s="3">
        <v>46015</v>
      </c>
      <c r="G73">
        <f t="shared" si="3"/>
        <v>0</v>
      </c>
      <c r="H73">
        <f t="shared" si="4"/>
        <v>0.2</v>
      </c>
      <c r="I73">
        <f t="shared" si="5"/>
        <v>0</v>
      </c>
    </row>
    <row r="74" spans="1:9" x14ac:dyDescent="0.3">
      <c r="A74" s="2" t="s">
        <v>189</v>
      </c>
      <c r="B74" s="2" t="s">
        <v>190</v>
      </c>
      <c r="C74" s="2" t="s">
        <v>72</v>
      </c>
      <c r="D74" s="2" t="s">
        <v>73</v>
      </c>
      <c r="E74" s="2" t="s">
        <v>9</v>
      </c>
      <c r="F74" s="3">
        <v>46014</v>
      </c>
      <c r="G74">
        <f t="shared" si="3"/>
        <v>0</v>
      </c>
      <c r="H74">
        <f t="shared" si="4"/>
        <v>0</v>
      </c>
      <c r="I74">
        <f t="shared" si="5"/>
        <v>0</v>
      </c>
    </row>
    <row r="75" spans="1:9" x14ac:dyDescent="0.3">
      <c r="A75" s="2" t="s">
        <v>191</v>
      </c>
      <c r="B75" s="2" t="s">
        <v>192</v>
      </c>
      <c r="C75" s="2" t="s">
        <v>16</v>
      </c>
      <c r="D75" s="2" t="s">
        <v>193</v>
      </c>
      <c r="E75" s="2" t="s">
        <v>9</v>
      </c>
      <c r="F75" s="3">
        <v>46008</v>
      </c>
      <c r="G75">
        <f t="shared" si="3"/>
        <v>0</v>
      </c>
      <c r="H75">
        <f t="shared" si="4"/>
        <v>0.2</v>
      </c>
      <c r="I75">
        <f t="shared" si="5"/>
        <v>0</v>
      </c>
    </row>
    <row r="76" spans="1:9" x14ac:dyDescent="0.3">
      <c r="A76" s="2" t="s">
        <v>194</v>
      </c>
      <c r="B76" s="2" t="s">
        <v>195</v>
      </c>
      <c r="C76" s="2" t="s">
        <v>12</v>
      </c>
      <c r="D76" s="2" t="s">
        <v>196</v>
      </c>
      <c r="E76" s="2" t="s">
        <v>9</v>
      </c>
      <c r="F76" s="3">
        <v>46006</v>
      </c>
      <c r="G76">
        <f t="shared" si="3"/>
        <v>0</v>
      </c>
      <c r="H76">
        <f t="shared" si="4"/>
        <v>0</v>
      </c>
      <c r="I76">
        <f t="shared" si="5"/>
        <v>3.3000000000000002E-2</v>
      </c>
    </row>
    <row r="77" spans="1:9" x14ac:dyDescent="0.3">
      <c r="A77" s="2" t="s">
        <v>197</v>
      </c>
      <c r="B77" s="2" t="s">
        <v>198</v>
      </c>
      <c r="C77" s="2" t="s">
        <v>16</v>
      </c>
      <c r="D77" s="2" t="s">
        <v>140</v>
      </c>
      <c r="E77" s="2" t="s">
        <v>9</v>
      </c>
      <c r="F77" s="3">
        <v>46015</v>
      </c>
      <c r="G77">
        <f t="shared" si="3"/>
        <v>0</v>
      </c>
      <c r="H77">
        <f t="shared" si="4"/>
        <v>0.2</v>
      </c>
      <c r="I77">
        <f t="shared" si="5"/>
        <v>0</v>
      </c>
    </row>
    <row r="78" spans="1:9" x14ac:dyDescent="0.3">
      <c r="A78" s="2" t="s">
        <v>199</v>
      </c>
      <c r="B78" s="2" t="s">
        <v>200</v>
      </c>
      <c r="C78" s="2" t="s">
        <v>7</v>
      </c>
      <c r="D78" s="2" t="s">
        <v>201</v>
      </c>
      <c r="E78" s="2" t="s">
        <v>9</v>
      </c>
      <c r="F78" s="2" t="s">
        <v>4</v>
      </c>
      <c r="G78">
        <f t="shared" si="3"/>
        <v>1</v>
      </c>
      <c r="H78">
        <f t="shared" si="4"/>
        <v>0</v>
      </c>
      <c r="I78">
        <f t="shared" si="5"/>
        <v>0</v>
      </c>
    </row>
    <row r="79" spans="1:9" x14ac:dyDescent="0.3">
      <c r="A79" s="2" t="s">
        <v>202</v>
      </c>
      <c r="B79" s="2" t="s">
        <v>203</v>
      </c>
      <c r="C79" s="2" t="s">
        <v>16</v>
      </c>
      <c r="D79" s="2" t="s">
        <v>204</v>
      </c>
      <c r="E79" s="2" t="s">
        <v>9</v>
      </c>
      <c r="F79" s="3">
        <v>46014</v>
      </c>
      <c r="G79">
        <f t="shared" si="3"/>
        <v>0</v>
      </c>
      <c r="H79">
        <f t="shared" si="4"/>
        <v>0.2</v>
      </c>
      <c r="I79">
        <f t="shared" si="5"/>
        <v>0</v>
      </c>
    </row>
    <row r="80" spans="1:9" x14ac:dyDescent="0.3">
      <c r="A80" s="2" t="s">
        <v>205</v>
      </c>
      <c r="B80" s="2" t="s">
        <v>206</v>
      </c>
      <c r="C80" s="2" t="s">
        <v>7</v>
      </c>
      <c r="D80" s="2" t="s">
        <v>34</v>
      </c>
      <c r="E80" s="2" t="s">
        <v>9</v>
      </c>
      <c r="F80" s="3">
        <v>46015</v>
      </c>
      <c r="G80">
        <f t="shared" si="3"/>
        <v>1</v>
      </c>
      <c r="H80">
        <f t="shared" si="4"/>
        <v>0</v>
      </c>
      <c r="I80">
        <f t="shared" si="5"/>
        <v>0</v>
      </c>
    </row>
    <row r="81" spans="1:9" x14ac:dyDescent="0.3">
      <c r="A81" s="2" t="s">
        <v>207</v>
      </c>
      <c r="B81" s="2" t="s">
        <v>208</v>
      </c>
      <c r="C81" s="2" t="s">
        <v>12</v>
      </c>
      <c r="D81" s="2" t="s">
        <v>37</v>
      </c>
      <c r="E81" s="2" t="s">
        <v>9</v>
      </c>
      <c r="F81" s="3">
        <v>46008</v>
      </c>
      <c r="G81">
        <f t="shared" si="3"/>
        <v>0</v>
      </c>
      <c r="H81">
        <f t="shared" si="4"/>
        <v>0</v>
      </c>
      <c r="I81">
        <f t="shared" si="5"/>
        <v>3.3000000000000002E-2</v>
      </c>
    </row>
    <row r="82" spans="1:9" x14ac:dyDescent="0.3">
      <c r="A82" s="2" t="s">
        <v>209</v>
      </c>
      <c r="B82" s="2" t="s">
        <v>210</v>
      </c>
      <c r="C82" s="2" t="s">
        <v>72</v>
      </c>
      <c r="D82" s="2" t="s">
        <v>73</v>
      </c>
      <c r="E82" s="2" t="s">
        <v>9</v>
      </c>
      <c r="F82" s="3">
        <v>45791</v>
      </c>
      <c r="G82">
        <f t="shared" si="3"/>
        <v>0</v>
      </c>
      <c r="H82">
        <f t="shared" si="4"/>
        <v>0</v>
      </c>
      <c r="I82">
        <f t="shared" si="5"/>
        <v>0</v>
      </c>
    </row>
    <row r="83" spans="1:9" x14ac:dyDescent="0.3">
      <c r="A83" s="2" t="s">
        <v>211</v>
      </c>
      <c r="B83" s="2" t="s">
        <v>212</v>
      </c>
      <c r="C83" s="2" t="s">
        <v>16</v>
      </c>
      <c r="D83" s="2" t="s">
        <v>17</v>
      </c>
      <c r="E83" s="2" t="s">
        <v>9</v>
      </c>
      <c r="F83" s="3">
        <v>46013</v>
      </c>
      <c r="G83">
        <f t="shared" si="3"/>
        <v>0</v>
      </c>
      <c r="H83">
        <f t="shared" si="4"/>
        <v>0.2</v>
      </c>
      <c r="I83">
        <f t="shared" si="5"/>
        <v>0</v>
      </c>
    </row>
    <row r="84" spans="1:9" x14ac:dyDescent="0.3">
      <c r="A84" s="2" t="s">
        <v>213</v>
      </c>
      <c r="B84" s="2" t="s">
        <v>214</v>
      </c>
      <c r="C84" s="2" t="s">
        <v>16</v>
      </c>
      <c r="D84" s="2" t="s">
        <v>140</v>
      </c>
      <c r="E84" s="2" t="s">
        <v>9</v>
      </c>
      <c r="F84" s="3">
        <v>46013</v>
      </c>
      <c r="G84">
        <f t="shared" si="3"/>
        <v>0</v>
      </c>
      <c r="H84">
        <f t="shared" si="4"/>
        <v>0.2</v>
      </c>
      <c r="I84">
        <f t="shared" si="5"/>
        <v>0</v>
      </c>
    </row>
    <row r="85" spans="1:9" x14ac:dyDescent="0.3">
      <c r="A85" s="2" t="s">
        <v>215</v>
      </c>
      <c r="B85" s="2" t="s">
        <v>216</v>
      </c>
      <c r="C85" s="2" t="s">
        <v>16</v>
      </c>
      <c r="D85" s="2" t="s">
        <v>87</v>
      </c>
      <c r="E85" s="2" t="s">
        <v>9</v>
      </c>
      <c r="F85" s="3">
        <v>46003</v>
      </c>
      <c r="G85">
        <f t="shared" si="3"/>
        <v>0</v>
      </c>
      <c r="H85">
        <f t="shared" si="4"/>
        <v>0.2</v>
      </c>
      <c r="I85">
        <f t="shared" si="5"/>
        <v>0</v>
      </c>
    </row>
    <row r="86" spans="1:9" x14ac:dyDescent="0.3">
      <c r="A86" s="2" t="s">
        <v>217</v>
      </c>
      <c r="B86" s="2" t="s">
        <v>218</v>
      </c>
      <c r="C86" s="2" t="s">
        <v>7</v>
      </c>
      <c r="D86" s="2" t="s">
        <v>26</v>
      </c>
      <c r="E86" s="2" t="s">
        <v>9</v>
      </c>
      <c r="F86" s="3">
        <v>46015</v>
      </c>
      <c r="G86">
        <f t="shared" si="3"/>
        <v>1</v>
      </c>
      <c r="H86">
        <f t="shared" si="4"/>
        <v>0</v>
      </c>
      <c r="I86">
        <f t="shared" si="5"/>
        <v>0</v>
      </c>
    </row>
    <row r="87" spans="1:9" x14ac:dyDescent="0.3">
      <c r="A87" s="2" t="s">
        <v>219</v>
      </c>
      <c r="B87" s="2" t="s">
        <v>220</v>
      </c>
      <c r="C87" s="2" t="s">
        <v>72</v>
      </c>
      <c r="D87" s="2" t="s">
        <v>73</v>
      </c>
      <c r="E87" s="2" t="s">
        <v>9</v>
      </c>
      <c r="F87" s="3">
        <v>45870</v>
      </c>
      <c r="G87">
        <f t="shared" si="3"/>
        <v>0</v>
      </c>
      <c r="H87">
        <f t="shared" si="4"/>
        <v>0</v>
      </c>
      <c r="I87">
        <f t="shared" si="5"/>
        <v>0</v>
      </c>
    </row>
    <row r="88" spans="1:9" x14ac:dyDescent="0.3">
      <c r="A88" s="2" t="s">
        <v>221</v>
      </c>
      <c r="B88" s="2" t="s">
        <v>222</v>
      </c>
      <c r="C88" s="2" t="s">
        <v>7</v>
      </c>
      <c r="D88" s="2" t="s">
        <v>223</v>
      </c>
      <c r="E88" s="2" t="s">
        <v>9</v>
      </c>
      <c r="F88" s="3">
        <v>46015</v>
      </c>
      <c r="G88">
        <f t="shared" si="3"/>
        <v>1</v>
      </c>
      <c r="H88">
        <f t="shared" si="4"/>
        <v>0</v>
      </c>
      <c r="I88">
        <f t="shared" si="5"/>
        <v>0</v>
      </c>
    </row>
    <row r="89" spans="1:9" x14ac:dyDescent="0.3">
      <c r="A89" s="2" t="s">
        <v>224</v>
      </c>
      <c r="B89" s="2" t="s">
        <v>225</v>
      </c>
      <c r="C89" s="2" t="s">
        <v>16</v>
      </c>
      <c r="D89" s="2" t="s">
        <v>17</v>
      </c>
      <c r="E89" s="2" t="s">
        <v>9</v>
      </c>
      <c r="F89" s="3">
        <v>46015</v>
      </c>
      <c r="G89">
        <f t="shared" si="3"/>
        <v>0</v>
      </c>
      <c r="H89">
        <f t="shared" si="4"/>
        <v>0.2</v>
      </c>
      <c r="I89">
        <f t="shared" si="5"/>
        <v>0</v>
      </c>
    </row>
    <row r="90" spans="1:9" x14ac:dyDescent="0.3">
      <c r="A90" s="2" t="s">
        <v>226</v>
      </c>
      <c r="B90" s="2" t="s">
        <v>227</v>
      </c>
      <c r="C90" s="2" t="s">
        <v>7</v>
      </c>
      <c r="D90" s="2" t="s">
        <v>228</v>
      </c>
      <c r="E90" s="2" t="s">
        <v>9</v>
      </c>
      <c r="F90" s="3">
        <v>46014</v>
      </c>
      <c r="G90">
        <f t="shared" si="3"/>
        <v>1</v>
      </c>
      <c r="H90">
        <f t="shared" si="4"/>
        <v>0</v>
      </c>
      <c r="I90">
        <f t="shared" si="5"/>
        <v>0</v>
      </c>
    </row>
    <row r="91" spans="1:9" x14ac:dyDescent="0.3">
      <c r="A91" s="2" t="s">
        <v>229</v>
      </c>
      <c r="B91" s="2" t="s">
        <v>230</v>
      </c>
      <c r="C91" s="2" t="s">
        <v>16</v>
      </c>
      <c r="D91" s="2" t="s">
        <v>17</v>
      </c>
      <c r="E91" s="2" t="s">
        <v>9</v>
      </c>
      <c r="F91" s="3">
        <v>46015</v>
      </c>
      <c r="G91">
        <f t="shared" si="3"/>
        <v>0</v>
      </c>
      <c r="H91">
        <f t="shared" si="4"/>
        <v>0.2</v>
      </c>
      <c r="I91">
        <f t="shared" si="5"/>
        <v>0</v>
      </c>
    </row>
    <row r="92" spans="1:9" x14ac:dyDescent="0.3">
      <c r="A92" s="2" t="s">
        <v>231</v>
      </c>
      <c r="B92" s="2" t="s">
        <v>232</v>
      </c>
      <c r="C92" s="2" t="s">
        <v>7</v>
      </c>
      <c r="D92" s="2" t="s">
        <v>233</v>
      </c>
      <c r="E92" s="2" t="s">
        <v>9</v>
      </c>
      <c r="F92" s="3">
        <v>46014</v>
      </c>
      <c r="G92">
        <f t="shared" si="3"/>
        <v>1</v>
      </c>
      <c r="H92">
        <f t="shared" si="4"/>
        <v>0</v>
      </c>
      <c r="I92">
        <f t="shared" si="5"/>
        <v>0</v>
      </c>
    </row>
    <row r="93" spans="1:9" x14ac:dyDescent="0.3">
      <c r="A93" s="2" t="s">
        <v>234</v>
      </c>
      <c r="B93" s="2" t="s">
        <v>235</v>
      </c>
      <c r="C93" s="2" t="s">
        <v>12</v>
      </c>
      <c r="D93" s="2" t="s">
        <v>13</v>
      </c>
      <c r="E93" s="2" t="s">
        <v>9</v>
      </c>
      <c r="F93" s="3">
        <v>46015</v>
      </c>
      <c r="G93">
        <f t="shared" si="3"/>
        <v>0</v>
      </c>
      <c r="H93">
        <f t="shared" si="4"/>
        <v>0</v>
      </c>
      <c r="I93">
        <f t="shared" si="5"/>
        <v>3.3000000000000002E-2</v>
      </c>
    </row>
    <row r="94" spans="1:9" x14ac:dyDescent="0.3">
      <c r="A94" s="2" t="s">
        <v>236</v>
      </c>
      <c r="B94" s="2" t="s">
        <v>237</v>
      </c>
      <c r="C94" s="2" t="s">
        <v>16</v>
      </c>
      <c r="D94" s="2" t="s">
        <v>238</v>
      </c>
      <c r="E94" s="2" t="s">
        <v>9</v>
      </c>
      <c r="F94" s="3">
        <v>46015</v>
      </c>
      <c r="G94">
        <f t="shared" si="3"/>
        <v>0</v>
      </c>
      <c r="H94">
        <f t="shared" si="4"/>
        <v>0.2</v>
      </c>
      <c r="I94">
        <f t="shared" si="5"/>
        <v>0</v>
      </c>
    </row>
    <row r="95" spans="1:9" x14ac:dyDescent="0.3">
      <c r="A95" s="2" t="s">
        <v>239</v>
      </c>
      <c r="B95" s="2" t="s">
        <v>240</v>
      </c>
      <c r="C95" s="2" t="s">
        <v>16</v>
      </c>
      <c r="D95" s="2" t="s">
        <v>17</v>
      </c>
      <c r="E95" s="2" t="s">
        <v>9</v>
      </c>
      <c r="F95" s="2" t="s">
        <v>4</v>
      </c>
      <c r="G95">
        <f t="shared" si="3"/>
        <v>0</v>
      </c>
      <c r="H95">
        <f t="shared" si="4"/>
        <v>0.2</v>
      </c>
      <c r="I95">
        <f t="shared" si="5"/>
        <v>0</v>
      </c>
    </row>
    <row r="96" spans="1:9" x14ac:dyDescent="0.3">
      <c r="A96" s="2" t="s">
        <v>241</v>
      </c>
      <c r="B96" s="2" t="s">
        <v>242</v>
      </c>
      <c r="C96" s="2" t="s">
        <v>72</v>
      </c>
      <c r="D96" s="2" t="s">
        <v>73</v>
      </c>
      <c r="E96" s="2" t="s">
        <v>9</v>
      </c>
      <c r="F96" s="3">
        <v>45966</v>
      </c>
      <c r="G96">
        <f t="shared" si="3"/>
        <v>0</v>
      </c>
      <c r="H96">
        <f t="shared" si="4"/>
        <v>0</v>
      </c>
      <c r="I96">
        <f t="shared" si="5"/>
        <v>0</v>
      </c>
    </row>
    <row r="97" spans="1:9" x14ac:dyDescent="0.3">
      <c r="A97" s="2" t="s">
        <v>243</v>
      </c>
      <c r="B97" s="2" t="s">
        <v>244</v>
      </c>
      <c r="C97" s="2" t="s">
        <v>16</v>
      </c>
      <c r="D97" s="2" t="s">
        <v>140</v>
      </c>
      <c r="E97" s="2" t="s">
        <v>9</v>
      </c>
      <c r="F97" s="3">
        <v>46015</v>
      </c>
      <c r="G97">
        <f t="shared" si="3"/>
        <v>0</v>
      </c>
      <c r="H97">
        <f t="shared" si="4"/>
        <v>0.2</v>
      </c>
      <c r="I97">
        <f t="shared" si="5"/>
        <v>0</v>
      </c>
    </row>
    <row r="98" spans="1:9" x14ac:dyDescent="0.3">
      <c r="A98" s="2" t="s">
        <v>245</v>
      </c>
      <c r="B98" s="2" t="s">
        <v>246</v>
      </c>
      <c r="C98" s="2" t="s">
        <v>7</v>
      </c>
      <c r="D98" s="2" t="s">
        <v>247</v>
      </c>
      <c r="E98" s="2" t="s">
        <v>9</v>
      </c>
      <c r="F98" s="3">
        <v>46015</v>
      </c>
      <c r="G98">
        <f t="shared" si="3"/>
        <v>1</v>
      </c>
      <c r="H98">
        <f t="shared" si="4"/>
        <v>0</v>
      </c>
      <c r="I98">
        <f t="shared" si="5"/>
        <v>0</v>
      </c>
    </row>
    <row r="99" spans="1:9" x14ac:dyDescent="0.3">
      <c r="A99" s="2" t="s">
        <v>248</v>
      </c>
      <c r="B99" s="2" t="s">
        <v>249</v>
      </c>
      <c r="C99" s="2" t="s">
        <v>16</v>
      </c>
      <c r="D99" s="2" t="s">
        <v>45</v>
      </c>
      <c r="E99" s="2" t="s">
        <v>9</v>
      </c>
      <c r="F99" s="3">
        <v>46014</v>
      </c>
      <c r="G99">
        <f t="shared" si="3"/>
        <v>0</v>
      </c>
      <c r="H99">
        <f t="shared" si="4"/>
        <v>0.2</v>
      </c>
      <c r="I99">
        <f t="shared" si="5"/>
        <v>0</v>
      </c>
    </row>
    <row r="100" spans="1:9" x14ac:dyDescent="0.3">
      <c r="A100" s="2" t="s">
        <v>250</v>
      </c>
      <c r="B100" s="2" t="s">
        <v>251</v>
      </c>
      <c r="C100" s="2" t="s">
        <v>16</v>
      </c>
      <c r="D100" s="2" t="s">
        <v>252</v>
      </c>
      <c r="E100" s="2" t="s">
        <v>9</v>
      </c>
      <c r="F100" s="3">
        <v>46014</v>
      </c>
      <c r="G100">
        <f t="shared" si="3"/>
        <v>0</v>
      </c>
      <c r="H100">
        <f t="shared" si="4"/>
        <v>0.2</v>
      </c>
      <c r="I100">
        <f t="shared" si="5"/>
        <v>0</v>
      </c>
    </row>
    <row r="101" spans="1:9" x14ac:dyDescent="0.3">
      <c r="A101" s="2" t="s">
        <v>253</v>
      </c>
      <c r="B101" s="2" t="s">
        <v>254</v>
      </c>
      <c r="C101" s="2" t="s">
        <v>72</v>
      </c>
      <c r="D101" s="2" t="s">
        <v>73</v>
      </c>
      <c r="E101" s="2" t="s">
        <v>9</v>
      </c>
      <c r="F101" s="3">
        <v>45975</v>
      </c>
      <c r="G101">
        <f t="shared" si="3"/>
        <v>0</v>
      </c>
      <c r="H101">
        <f t="shared" si="4"/>
        <v>0</v>
      </c>
      <c r="I101">
        <f t="shared" si="5"/>
        <v>0</v>
      </c>
    </row>
    <row r="102" spans="1:9" x14ac:dyDescent="0.3">
      <c r="A102" s="2" t="s">
        <v>255</v>
      </c>
      <c r="B102" s="2" t="s">
        <v>256</v>
      </c>
      <c r="C102" s="2" t="s">
        <v>12</v>
      </c>
      <c r="D102" s="2" t="s">
        <v>37</v>
      </c>
      <c r="E102" s="2" t="s">
        <v>9</v>
      </c>
      <c r="F102" s="3">
        <v>45883</v>
      </c>
      <c r="G102">
        <f t="shared" si="3"/>
        <v>0</v>
      </c>
      <c r="H102">
        <f t="shared" si="4"/>
        <v>0</v>
      </c>
      <c r="I102">
        <f t="shared" si="5"/>
        <v>3.3000000000000002E-2</v>
      </c>
    </row>
    <row r="103" spans="1:9" x14ac:dyDescent="0.3">
      <c r="A103" s="2" t="s">
        <v>257</v>
      </c>
      <c r="B103" s="2" t="s">
        <v>258</v>
      </c>
      <c r="C103" s="2" t="s">
        <v>12</v>
      </c>
      <c r="D103" s="2" t="s">
        <v>13</v>
      </c>
      <c r="E103" s="2" t="s">
        <v>9</v>
      </c>
      <c r="F103" s="3">
        <v>46007</v>
      </c>
      <c r="G103">
        <f t="shared" si="3"/>
        <v>0</v>
      </c>
      <c r="H103">
        <f t="shared" si="4"/>
        <v>0</v>
      </c>
      <c r="I103">
        <f t="shared" si="5"/>
        <v>3.3000000000000002E-2</v>
      </c>
    </row>
    <row r="104" spans="1:9" x14ac:dyDescent="0.3">
      <c r="A104" s="2" t="s">
        <v>259</v>
      </c>
      <c r="B104" s="2" t="s">
        <v>260</v>
      </c>
      <c r="C104" s="2" t="s">
        <v>7</v>
      </c>
      <c r="D104" s="2" t="s">
        <v>118</v>
      </c>
      <c r="E104" s="2" t="s">
        <v>9</v>
      </c>
      <c r="F104" s="3">
        <v>46015</v>
      </c>
      <c r="G104">
        <f t="shared" si="3"/>
        <v>1</v>
      </c>
      <c r="H104">
        <f t="shared" si="4"/>
        <v>0</v>
      </c>
      <c r="I104">
        <f t="shared" si="5"/>
        <v>0</v>
      </c>
    </row>
    <row r="105" spans="1:9" x14ac:dyDescent="0.3">
      <c r="A105" s="2" t="s">
        <v>261</v>
      </c>
      <c r="B105" s="2" t="s">
        <v>262</v>
      </c>
      <c r="C105" s="2" t="s">
        <v>7</v>
      </c>
      <c r="D105" s="2" t="s">
        <v>263</v>
      </c>
      <c r="E105" s="2" t="s">
        <v>9</v>
      </c>
      <c r="F105" s="3">
        <v>46015</v>
      </c>
      <c r="G105">
        <f t="shared" si="3"/>
        <v>1</v>
      </c>
      <c r="H105">
        <f t="shared" si="4"/>
        <v>0</v>
      </c>
      <c r="I105">
        <f t="shared" si="5"/>
        <v>0</v>
      </c>
    </row>
    <row r="106" spans="1:9" x14ac:dyDescent="0.3">
      <c r="A106" s="2" t="s">
        <v>264</v>
      </c>
      <c r="B106" s="2" t="s">
        <v>265</v>
      </c>
      <c r="C106" s="2" t="s">
        <v>16</v>
      </c>
      <c r="D106" s="2" t="s">
        <v>17</v>
      </c>
      <c r="E106" s="2" t="s">
        <v>9</v>
      </c>
      <c r="F106" s="3">
        <v>46001</v>
      </c>
      <c r="G106">
        <f t="shared" si="3"/>
        <v>0</v>
      </c>
      <c r="H106">
        <f t="shared" si="4"/>
        <v>0.2</v>
      </c>
      <c r="I106">
        <f t="shared" si="5"/>
        <v>0</v>
      </c>
    </row>
    <row r="107" spans="1:9" x14ac:dyDescent="0.3">
      <c r="A107" s="2" t="s">
        <v>266</v>
      </c>
      <c r="B107" s="2" t="s">
        <v>267</v>
      </c>
      <c r="C107" s="2" t="s">
        <v>12</v>
      </c>
      <c r="D107" s="2" t="s">
        <v>69</v>
      </c>
      <c r="E107" s="2" t="s">
        <v>9</v>
      </c>
      <c r="F107" s="3">
        <v>46013</v>
      </c>
      <c r="G107">
        <f t="shared" si="3"/>
        <v>0</v>
      </c>
      <c r="H107">
        <f t="shared" si="4"/>
        <v>0</v>
      </c>
      <c r="I107">
        <f t="shared" si="5"/>
        <v>3.3000000000000002E-2</v>
      </c>
    </row>
    <row r="108" spans="1:9" x14ac:dyDescent="0.3">
      <c r="A108" s="2" t="s">
        <v>268</v>
      </c>
      <c r="B108" s="2" t="s">
        <v>269</v>
      </c>
      <c r="C108" s="2" t="s">
        <v>16</v>
      </c>
      <c r="D108" s="2" t="s">
        <v>82</v>
      </c>
      <c r="E108" s="2" t="s">
        <v>4</v>
      </c>
      <c r="F108" s="3">
        <v>46015</v>
      </c>
      <c r="G108">
        <f t="shared" si="3"/>
        <v>0</v>
      </c>
      <c r="H108">
        <f t="shared" si="4"/>
        <v>0.2</v>
      </c>
      <c r="I108">
        <f t="shared" si="5"/>
        <v>0</v>
      </c>
    </row>
    <row r="109" spans="1:9" x14ac:dyDescent="0.3">
      <c r="A109" s="2" t="s">
        <v>270</v>
      </c>
      <c r="B109" s="2" t="s">
        <v>271</v>
      </c>
      <c r="C109" s="2" t="s">
        <v>16</v>
      </c>
      <c r="D109" s="2" t="s">
        <v>272</v>
      </c>
      <c r="E109" s="2" t="s">
        <v>9</v>
      </c>
      <c r="F109" s="3">
        <v>46015</v>
      </c>
      <c r="G109">
        <f t="shared" si="3"/>
        <v>0</v>
      </c>
      <c r="H109">
        <f t="shared" si="4"/>
        <v>0.2</v>
      </c>
      <c r="I109">
        <f t="shared" si="5"/>
        <v>0</v>
      </c>
    </row>
    <row r="110" spans="1:9" x14ac:dyDescent="0.3">
      <c r="A110" s="2" t="s">
        <v>273</v>
      </c>
      <c r="B110" s="2" t="s">
        <v>274</v>
      </c>
      <c r="C110" s="2" t="s">
        <v>16</v>
      </c>
      <c r="D110" s="2" t="s">
        <v>275</v>
      </c>
      <c r="E110" s="2" t="s">
        <v>9</v>
      </c>
      <c r="F110" s="3">
        <v>46015</v>
      </c>
      <c r="G110">
        <f t="shared" si="3"/>
        <v>0</v>
      </c>
      <c r="H110">
        <f t="shared" si="4"/>
        <v>0.2</v>
      </c>
      <c r="I110">
        <f t="shared" si="5"/>
        <v>0</v>
      </c>
    </row>
    <row r="111" spans="1:9" x14ac:dyDescent="0.3">
      <c r="A111" s="2" t="s">
        <v>276</v>
      </c>
      <c r="B111" s="2" t="s">
        <v>277</v>
      </c>
      <c r="C111" s="2" t="s">
        <v>72</v>
      </c>
      <c r="D111" s="2" t="s">
        <v>73</v>
      </c>
      <c r="E111" s="2" t="s">
        <v>9</v>
      </c>
      <c r="F111" s="2" t="s">
        <v>4</v>
      </c>
      <c r="G111">
        <f t="shared" si="3"/>
        <v>0</v>
      </c>
      <c r="H111">
        <f t="shared" si="4"/>
        <v>0</v>
      </c>
      <c r="I111">
        <f t="shared" si="5"/>
        <v>0</v>
      </c>
    </row>
    <row r="112" spans="1:9" x14ac:dyDescent="0.3">
      <c r="A112" s="2" t="s">
        <v>278</v>
      </c>
      <c r="B112" s="2" t="s">
        <v>279</v>
      </c>
      <c r="C112" s="2" t="s">
        <v>12</v>
      </c>
      <c r="D112" s="2" t="s">
        <v>13</v>
      </c>
      <c r="E112" s="2" t="s">
        <v>9</v>
      </c>
      <c r="F112" s="3">
        <v>45891</v>
      </c>
      <c r="G112">
        <f t="shared" si="3"/>
        <v>0</v>
      </c>
      <c r="H112">
        <f t="shared" si="4"/>
        <v>0</v>
      </c>
      <c r="I112">
        <f t="shared" si="5"/>
        <v>3.3000000000000002E-2</v>
      </c>
    </row>
    <row r="113" spans="1:9" x14ac:dyDescent="0.3">
      <c r="A113" s="2" t="s">
        <v>280</v>
      </c>
      <c r="B113" s="2" t="s">
        <v>281</v>
      </c>
      <c r="C113" s="2" t="s">
        <v>16</v>
      </c>
      <c r="D113" s="2" t="s">
        <v>52</v>
      </c>
      <c r="E113" s="2" t="s">
        <v>9</v>
      </c>
      <c r="F113" s="3">
        <v>46013</v>
      </c>
      <c r="G113">
        <f t="shared" si="3"/>
        <v>0</v>
      </c>
      <c r="H113">
        <f t="shared" si="4"/>
        <v>0.2</v>
      </c>
      <c r="I113">
        <f t="shared" si="5"/>
        <v>0</v>
      </c>
    </row>
    <row r="114" spans="1:9" x14ac:dyDescent="0.3">
      <c r="A114" s="2" t="s">
        <v>282</v>
      </c>
      <c r="B114" s="2" t="s">
        <v>283</v>
      </c>
      <c r="C114" s="2" t="s">
        <v>7</v>
      </c>
      <c r="D114" s="2" t="s">
        <v>64</v>
      </c>
      <c r="E114" s="2" t="s">
        <v>9</v>
      </c>
      <c r="F114" s="3">
        <v>46014</v>
      </c>
      <c r="G114">
        <f t="shared" si="3"/>
        <v>1</v>
      </c>
      <c r="H114">
        <f t="shared" si="4"/>
        <v>0</v>
      </c>
      <c r="I114">
        <f t="shared" si="5"/>
        <v>0</v>
      </c>
    </row>
    <row r="115" spans="1:9" x14ac:dyDescent="0.3">
      <c r="A115" s="2" t="s">
        <v>284</v>
      </c>
      <c r="B115" s="2" t="s">
        <v>285</v>
      </c>
      <c r="C115" s="2" t="s">
        <v>12</v>
      </c>
      <c r="D115" s="2" t="s">
        <v>37</v>
      </c>
      <c r="E115" s="2" t="s">
        <v>9</v>
      </c>
      <c r="F115" s="3">
        <v>45943</v>
      </c>
      <c r="G115">
        <f t="shared" si="3"/>
        <v>0</v>
      </c>
      <c r="H115">
        <f t="shared" si="4"/>
        <v>0</v>
      </c>
      <c r="I115">
        <f t="shared" si="5"/>
        <v>3.3000000000000002E-2</v>
      </c>
    </row>
    <row r="116" spans="1:9" x14ac:dyDescent="0.3">
      <c r="A116" s="2" t="s">
        <v>286</v>
      </c>
      <c r="B116" s="2" t="s">
        <v>287</v>
      </c>
      <c r="C116" s="2" t="s">
        <v>12</v>
      </c>
      <c r="D116" s="2" t="s">
        <v>37</v>
      </c>
      <c r="E116" s="2" t="s">
        <v>9</v>
      </c>
      <c r="F116" s="3">
        <v>45880</v>
      </c>
      <c r="G116">
        <f t="shared" si="3"/>
        <v>0</v>
      </c>
      <c r="H116">
        <f t="shared" si="4"/>
        <v>0</v>
      </c>
      <c r="I116">
        <f t="shared" si="5"/>
        <v>3.3000000000000002E-2</v>
      </c>
    </row>
    <row r="117" spans="1:9" x14ac:dyDescent="0.3">
      <c r="A117" s="2" t="s">
        <v>288</v>
      </c>
      <c r="B117" s="2" t="s">
        <v>289</v>
      </c>
      <c r="C117" s="2" t="s">
        <v>16</v>
      </c>
      <c r="D117" s="2" t="s">
        <v>100</v>
      </c>
      <c r="E117" s="2" t="s">
        <v>9</v>
      </c>
      <c r="F117" s="3">
        <v>46015</v>
      </c>
      <c r="G117">
        <f t="shared" si="3"/>
        <v>0</v>
      </c>
      <c r="H117">
        <f t="shared" si="4"/>
        <v>0.2</v>
      </c>
      <c r="I117">
        <f t="shared" si="5"/>
        <v>0</v>
      </c>
    </row>
    <row r="118" spans="1:9" x14ac:dyDescent="0.3">
      <c r="A118" s="2" t="s">
        <v>290</v>
      </c>
      <c r="B118" s="2" t="s">
        <v>291</v>
      </c>
      <c r="C118" s="2" t="s">
        <v>12</v>
      </c>
      <c r="D118" s="2" t="s">
        <v>292</v>
      </c>
      <c r="E118" s="2" t="s">
        <v>9</v>
      </c>
      <c r="F118" s="3">
        <v>46014</v>
      </c>
      <c r="G118">
        <f t="shared" si="3"/>
        <v>0</v>
      </c>
      <c r="H118">
        <f t="shared" si="4"/>
        <v>0</v>
      </c>
      <c r="I118">
        <f t="shared" si="5"/>
        <v>3.3000000000000002E-2</v>
      </c>
    </row>
    <row r="119" spans="1:9" x14ac:dyDescent="0.3">
      <c r="A119" s="2" t="s">
        <v>293</v>
      </c>
      <c r="B119" s="2" t="s">
        <v>294</v>
      </c>
      <c r="C119" s="2" t="s">
        <v>7</v>
      </c>
      <c r="D119" s="2" t="s">
        <v>295</v>
      </c>
      <c r="E119" s="2" t="s">
        <v>9</v>
      </c>
      <c r="F119" s="3">
        <v>46015</v>
      </c>
      <c r="G119">
        <f t="shared" si="3"/>
        <v>1</v>
      </c>
      <c r="H119">
        <f t="shared" si="4"/>
        <v>0</v>
      </c>
      <c r="I119">
        <f t="shared" si="5"/>
        <v>0</v>
      </c>
    </row>
    <row r="120" spans="1:9" x14ac:dyDescent="0.3">
      <c r="A120" s="2" t="s">
        <v>296</v>
      </c>
      <c r="B120" s="2" t="s">
        <v>297</v>
      </c>
      <c r="C120" s="2" t="s">
        <v>16</v>
      </c>
      <c r="D120" s="2" t="s">
        <v>17</v>
      </c>
      <c r="E120" s="2" t="s">
        <v>9</v>
      </c>
      <c r="F120" s="3">
        <v>46014</v>
      </c>
      <c r="G120">
        <f t="shared" si="3"/>
        <v>0</v>
      </c>
      <c r="H120">
        <f t="shared" si="4"/>
        <v>0.2</v>
      </c>
      <c r="I120">
        <f t="shared" si="5"/>
        <v>0</v>
      </c>
    </row>
    <row r="121" spans="1:9" x14ac:dyDescent="0.3">
      <c r="A121" s="2" t="s">
        <v>298</v>
      </c>
      <c r="B121" s="2" t="s">
        <v>299</v>
      </c>
      <c r="C121" s="2" t="s">
        <v>7</v>
      </c>
      <c r="D121" s="2" t="s">
        <v>233</v>
      </c>
      <c r="E121" s="2" t="s">
        <v>9</v>
      </c>
      <c r="F121" s="3">
        <v>46015</v>
      </c>
      <c r="G121">
        <f t="shared" si="3"/>
        <v>1</v>
      </c>
      <c r="H121">
        <f t="shared" si="4"/>
        <v>0</v>
      </c>
      <c r="I121">
        <f t="shared" si="5"/>
        <v>0</v>
      </c>
    </row>
    <row r="122" spans="1:9" x14ac:dyDescent="0.3">
      <c r="A122" s="2" t="s">
        <v>300</v>
      </c>
      <c r="B122" s="2" t="s">
        <v>301</v>
      </c>
      <c r="C122" s="2" t="s">
        <v>7</v>
      </c>
      <c r="D122" s="2" t="s">
        <v>302</v>
      </c>
      <c r="E122" s="2" t="s">
        <v>9</v>
      </c>
      <c r="F122" s="3">
        <v>46015</v>
      </c>
      <c r="G122">
        <f t="shared" si="3"/>
        <v>1</v>
      </c>
      <c r="H122">
        <f t="shared" si="4"/>
        <v>0</v>
      </c>
      <c r="I122">
        <f t="shared" si="5"/>
        <v>0</v>
      </c>
    </row>
    <row r="123" spans="1:9" x14ac:dyDescent="0.3">
      <c r="A123" s="2" t="s">
        <v>303</v>
      </c>
      <c r="B123" s="2" t="s">
        <v>304</v>
      </c>
      <c r="C123" s="2" t="s">
        <v>16</v>
      </c>
      <c r="D123" s="2" t="s">
        <v>252</v>
      </c>
      <c r="E123" s="2" t="s">
        <v>9</v>
      </c>
      <c r="F123" s="3">
        <v>46014</v>
      </c>
      <c r="G123">
        <f t="shared" si="3"/>
        <v>0</v>
      </c>
      <c r="H123">
        <f t="shared" si="4"/>
        <v>0.2</v>
      </c>
      <c r="I123">
        <f t="shared" si="5"/>
        <v>0</v>
      </c>
    </row>
    <row r="124" spans="1:9" x14ac:dyDescent="0.3">
      <c r="A124" s="2" t="s">
        <v>305</v>
      </c>
      <c r="B124" s="2" t="s">
        <v>306</v>
      </c>
      <c r="C124" s="2" t="s">
        <v>16</v>
      </c>
      <c r="D124" s="2" t="s">
        <v>29</v>
      </c>
      <c r="E124" s="2" t="s">
        <v>9</v>
      </c>
      <c r="F124" s="3">
        <v>46015</v>
      </c>
      <c r="G124">
        <f t="shared" si="3"/>
        <v>0</v>
      </c>
      <c r="H124">
        <f t="shared" si="4"/>
        <v>0.2</v>
      </c>
      <c r="I124">
        <f t="shared" si="5"/>
        <v>0</v>
      </c>
    </row>
    <row r="125" spans="1:9" x14ac:dyDescent="0.3">
      <c r="A125" s="2" t="s">
        <v>307</v>
      </c>
      <c r="B125" s="2" t="s">
        <v>308</v>
      </c>
      <c r="C125" s="2" t="s">
        <v>16</v>
      </c>
      <c r="D125" s="2" t="s">
        <v>309</v>
      </c>
      <c r="E125" s="2" t="s">
        <v>9</v>
      </c>
      <c r="F125" s="3">
        <v>46015</v>
      </c>
      <c r="G125">
        <f t="shared" si="3"/>
        <v>0</v>
      </c>
      <c r="H125">
        <f t="shared" si="4"/>
        <v>0.2</v>
      </c>
      <c r="I125">
        <f t="shared" si="5"/>
        <v>0</v>
      </c>
    </row>
    <row r="126" spans="1:9" x14ac:dyDescent="0.3">
      <c r="A126" s="2" t="s">
        <v>310</v>
      </c>
      <c r="B126" s="2" t="s">
        <v>311</v>
      </c>
      <c r="C126" s="2" t="s">
        <v>16</v>
      </c>
      <c r="D126" s="2" t="s">
        <v>312</v>
      </c>
      <c r="E126" s="2" t="s">
        <v>9</v>
      </c>
      <c r="F126" s="3">
        <v>46015</v>
      </c>
      <c r="G126">
        <f t="shared" si="3"/>
        <v>0</v>
      </c>
      <c r="H126">
        <f t="shared" si="4"/>
        <v>0.2</v>
      </c>
      <c r="I126">
        <f t="shared" si="5"/>
        <v>0</v>
      </c>
    </row>
    <row r="127" spans="1:9" x14ac:dyDescent="0.3">
      <c r="A127" s="2" t="s">
        <v>313</v>
      </c>
      <c r="B127" s="2" t="s">
        <v>314</v>
      </c>
      <c r="C127" s="2" t="s">
        <v>16</v>
      </c>
      <c r="D127" s="2" t="s">
        <v>17</v>
      </c>
      <c r="E127" s="2" t="s">
        <v>9</v>
      </c>
      <c r="F127" s="3">
        <v>46014</v>
      </c>
      <c r="G127">
        <f t="shared" si="3"/>
        <v>0</v>
      </c>
      <c r="H127">
        <f t="shared" si="4"/>
        <v>0.2</v>
      </c>
      <c r="I127">
        <f t="shared" si="5"/>
        <v>0</v>
      </c>
    </row>
    <row r="128" spans="1:9" x14ac:dyDescent="0.3">
      <c r="A128" s="2" t="s">
        <v>315</v>
      </c>
      <c r="B128" s="2" t="s">
        <v>316</v>
      </c>
      <c r="C128" s="2" t="s">
        <v>7</v>
      </c>
      <c r="D128" s="2" t="s">
        <v>317</v>
      </c>
      <c r="E128" s="2" t="s">
        <v>9</v>
      </c>
      <c r="F128" s="3">
        <v>46010</v>
      </c>
      <c r="G128">
        <f t="shared" si="3"/>
        <v>1</v>
      </c>
      <c r="H128">
        <f t="shared" si="4"/>
        <v>0</v>
      </c>
      <c r="I128">
        <f t="shared" si="5"/>
        <v>0</v>
      </c>
    </row>
    <row r="129" spans="1:9" x14ac:dyDescent="0.3">
      <c r="A129" s="2" t="s">
        <v>318</v>
      </c>
      <c r="B129" s="2" t="s">
        <v>319</v>
      </c>
      <c r="C129" s="2" t="s">
        <v>12</v>
      </c>
      <c r="D129" s="2" t="s">
        <v>37</v>
      </c>
      <c r="E129" s="2" t="s">
        <v>9</v>
      </c>
      <c r="F129" s="3">
        <v>45889</v>
      </c>
      <c r="G129">
        <f t="shared" si="3"/>
        <v>0</v>
      </c>
      <c r="H129">
        <f t="shared" si="4"/>
        <v>0</v>
      </c>
      <c r="I129">
        <f t="shared" si="5"/>
        <v>3.3000000000000002E-2</v>
      </c>
    </row>
    <row r="130" spans="1:9" x14ac:dyDescent="0.3">
      <c r="A130" s="2" t="s">
        <v>320</v>
      </c>
      <c r="B130" s="2" t="s">
        <v>321</v>
      </c>
      <c r="C130" s="2" t="s">
        <v>7</v>
      </c>
      <c r="D130" s="2" t="s">
        <v>322</v>
      </c>
      <c r="E130" s="2" t="s">
        <v>9</v>
      </c>
      <c r="F130" s="3">
        <v>46015</v>
      </c>
      <c r="G130">
        <f t="shared" si="3"/>
        <v>1</v>
      </c>
      <c r="H130">
        <f t="shared" si="4"/>
        <v>0</v>
      </c>
      <c r="I130">
        <f t="shared" si="5"/>
        <v>0</v>
      </c>
    </row>
    <row r="131" spans="1:9" x14ac:dyDescent="0.3">
      <c r="A131" s="2" t="s">
        <v>323</v>
      </c>
      <c r="B131" s="2" t="s">
        <v>324</v>
      </c>
      <c r="C131" s="2" t="s">
        <v>12</v>
      </c>
      <c r="D131" s="2" t="s">
        <v>69</v>
      </c>
      <c r="E131" s="2" t="s">
        <v>9</v>
      </c>
      <c r="F131" s="3">
        <v>46015</v>
      </c>
      <c r="G131">
        <f t="shared" ref="G131:G158" si="6">IF(C131 ="GB Advanced Use",1,0)</f>
        <v>0</v>
      </c>
      <c r="H131">
        <f t="shared" ref="H131:H158" si="7">IF(C131 = "GC Core Use",0.2,0)</f>
        <v>0</v>
      </c>
      <c r="I131">
        <f t="shared" ref="I131:I158" si="8">IF(C131="GD Self-Service Use",0.033,0)</f>
        <v>3.3000000000000002E-2</v>
      </c>
    </row>
    <row r="132" spans="1:9" x14ac:dyDescent="0.3">
      <c r="A132" s="2" t="s">
        <v>325</v>
      </c>
      <c r="B132" s="2" t="s">
        <v>326</v>
      </c>
      <c r="C132" s="2" t="s">
        <v>16</v>
      </c>
      <c r="D132" s="2" t="s">
        <v>17</v>
      </c>
      <c r="E132" s="2" t="s">
        <v>9</v>
      </c>
      <c r="F132" s="3">
        <v>46009</v>
      </c>
      <c r="G132">
        <f t="shared" si="6"/>
        <v>0</v>
      </c>
      <c r="H132">
        <f t="shared" si="7"/>
        <v>0.2</v>
      </c>
      <c r="I132">
        <f t="shared" si="8"/>
        <v>0</v>
      </c>
    </row>
    <row r="133" spans="1:9" x14ac:dyDescent="0.3">
      <c r="A133" s="2" t="s">
        <v>327</v>
      </c>
      <c r="B133" s="2" t="s">
        <v>328</v>
      </c>
      <c r="C133" s="2" t="s">
        <v>16</v>
      </c>
      <c r="D133" s="2" t="s">
        <v>37</v>
      </c>
      <c r="E133" s="2" t="s">
        <v>9</v>
      </c>
      <c r="F133" s="3">
        <v>46014</v>
      </c>
      <c r="G133">
        <f t="shared" si="6"/>
        <v>0</v>
      </c>
      <c r="H133">
        <f t="shared" si="7"/>
        <v>0.2</v>
      </c>
      <c r="I133">
        <f t="shared" si="8"/>
        <v>0</v>
      </c>
    </row>
    <row r="134" spans="1:9" x14ac:dyDescent="0.3">
      <c r="A134" s="2" t="s">
        <v>329</v>
      </c>
      <c r="B134" s="2" t="s">
        <v>329</v>
      </c>
      <c r="C134" s="2" t="s">
        <v>7</v>
      </c>
      <c r="D134" s="2" t="s">
        <v>330</v>
      </c>
      <c r="E134" s="2" t="s">
        <v>74</v>
      </c>
      <c r="F134" s="3">
        <v>46015</v>
      </c>
      <c r="G134">
        <f t="shared" si="6"/>
        <v>1</v>
      </c>
      <c r="H134">
        <f t="shared" si="7"/>
        <v>0</v>
      </c>
      <c r="I134">
        <f t="shared" si="8"/>
        <v>0</v>
      </c>
    </row>
    <row r="135" spans="1:9" x14ac:dyDescent="0.3">
      <c r="A135" s="2" t="s">
        <v>331</v>
      </c>
      <c r="B135" s="2" t="s">
        <v>332</v>
      </c>
      <c r="C135" s="2" t="s">
        <v>16</v>
      </c>
      <c r="D135" s="2" t="s">
        <v>333</v>
      </c>
      <c r="E135" s="2" t="s">
        <v>9</v>
      </c>
      <c r="F135" s="3">
        <v>46015</v>
      </c>
      <c r="G135">
        <f t="shared" si="6"/>
        <v>0</v>
      </c>
      <c r="H135">
        <f t="shared" si="7"/>
        <v>0.2</v>
      </c>
      <c r="I135">
        <f t="shared" si="8"/>
        <v>0</v>
      </c>
    </row>
    <row r="136" spans="1:9" x14ac:dyDescent="0.3">
      <c r="A136" s="2" t="s">
        <v>334</v>
      </c>
      <c r="B136" s="2" t="s">
        <v>335</v>
      </c>
      <c r="C136" s="2" t="s">
        <v>12</v>
      </c>
      <c r="D136" s="2" t="s">
        <v>69</v>
      </c>
      <c r="E136" s="2" t="s">
        <v>9</v>
      </c>
      <c r="F136" s="3">
        <v>46011</v>
      </c>
      <c r="G136">
        <f t="shared" si="6"/>
        <v>0</v>
      </c>
      <c r="H136">
        <f t="shared" si="7"/>
        <v>0</v>
      </c>
      <c r="I136">
        <f t="shared" si="8"/>
        <v>3.3000000000000002E-2</v>
      </c>
    </row>
    <row r="137" spans="1:9" x14ac:dyDescent="0.3">
      <c r="A137" s="2" t="s">
        <v>336</v>
      </c>
      <c r="B137" s="2" t="s">
        <v>337</v>
      </c>
      <c r="C137" s="2" t="s">
        <v>7</v>
      </c>
      <c r="D137" s="2" t="s">
        <v>338</v>
      </c>
      <c r="E137" s="2" t="s">
        <v>9</v>
      </c>
      <c r="F137" s="3">
        <v>46015</v>
      </c>
      <c r="G137">
        <f t="shared" si="6"/>
        <v>1</v>
      </c>
      <c r="H137">
        <f t="shared" si="7"/>
        <v>0</v>
      </c>
      <c r="I137">
        <f t="shared" si="8"/>
        <v>0</v>
      </c>
    </row>
    <row r="138" spans="1:9" x14ac:dyDescent="0.3">
      <c r="A138" s="2" t="s">
        <v>339</v>
      </c>
      <c r="B138" s="2" t="s">
        <v>340</v>
      </c>
      <c r="C138" s="2" t="s">
        <v>72</v>
      </c>
      <c r="D138" s="2" t="s">
        <v>73</v>
      </c>
      <c r="E138" s="2" t="s">
        <v>9</v>
      </c>
      <c r="F138" s="3">
        <v>45835</v>
      </c>
      <c r="G138">
        <f t="shared" si="6"/>
        <v>0</v>
      </c>
      <c r="H138">
        <f t="shared" si="7"/>
        <v>0</v>
      </c>
      <c r="I138">
        <f t="shared" si="8"/>
        <v>0</v>
      </c>
    </row>
    <row r="139" spans="1:9" x14ac:dyDescent="0.3">
      <c r="A139" s="2" t="s">
        <v>341</v>
      </c>
      <c r="B139" s="2" t="s">
        <v>342</v>
      </c>
      <c r="C139" s="2" t="s">
        <v>16</v>
      </c>
      <c r="D139" s="2" t="s">
        <v>17</v>
      </c>
      <c r="E139" s="2" t="s">
        <v>9</v>
      </c>
      <c r="F139" s="3">
        <v>46015</v>
      </c>
      <c r="G139">
        <f t="shared" si="6"/>
        <v>0</v>
      </c>
      <c r="H139">
        <f t="shared" si="7"/>
        <v>0.2</v>
      </c>
      <c r="I139">
        <f t="shared" si="8"/>
        <v>0</v>
      </c>
    </row>
    <row r="140" spans="1:9" x14ac:dyDescent="0.3">
      <c r="A140" s="2" t="s">
        <v>343</v>
      </c>
      <c r="B140" s="2" t="s">
        <v>344</v>
      </c>
      <c r="C140" s="2" t="s">
        <v>16</v>
      </c>
      <c r="D140" s="2" t="s">
        <v>17</v>
      </c>
      <c r="E140" s="2" t="s">
        <v>9</v>
      </c>
      <c r="F140" s="3">
        <v>46015</v>
      </c>
      <c r="G140">
        <f t="shared" si="6"/>
        <v>0</v>
      </c>
      <c r="H140">
        <f t="shared" si="7"/>
        <v>0.2</v>
      </c>
      <c r="I140">
        <f t="shared" si="8"/>
        <v>0</v>
      </c>
    </row>
    <row r="141" spans="1:9" x14ac:dyDescent="0.3">
      <c r="A141" s="2" t="s">
        <v>345</v>
      </c>
      <c r="B141" s="2" t="s">
        <v>346</v>
      </c>
      <c r="C141" s="2" t="s">
        <v>7</v>
      </c>
      <c r="D141" s="2" t="s">
        <v>338</v>
      </c>
      <c r="E141" s="2" t="s">
        <v>9</v>
      </c>
      <c r="F141" s="3">
        <v>46010</v>
      </c>
      <c r="G141">
        <f t="shared" si="6"/>
        <v>1</v>
      </c>
      <c r="H141">
        <f t="shared" si="7"/>
        <v>0</v>
      </c>
      <c r="I141">
        <f t="shared" si="8"/>
        <v>0</v>
      </c>
    </row>
    <row r="142" spans="1:9" x14ac:dyDescent="0.3">
      <c r="A142" s="2" t="s">
        <v>347</v>
      </c>
      <c r="B142" s="2" t="s">
        <v>348</v>
      </c>
      <c r="C142" s="2" t="s">
        <v>7</v>
      </c>
      <c r="D142" s="2" t="s">
        <v>69</v>
      </c>
      <c r="E142" s="2" t="s">
        <v>349</v>
      </c>
      <c r="F142" s="3">
        <v>45973</v>
      </c>
      <c r="G142">
        <f t="shared" si="6"/>
        <v>1</v>
      </c>
      <c r="H142">
        <f t="shared" si="7"/>
        <v>0</v>
      </c>
      <c r="I142">
        <f t="shared" si="8"/>
        <v>0</v>
      </c>
    </row>
    <row r="143" spans="1:9" x14ac:dyDescent="0.3">
      <c r="A143" s="2" t="s">
        <v>350</v>
      </c>
      <c r="B143" s="2" t="s">
        <v>351</v>
      </c>
      <c r="C143" s="2" t="s">
        <v>7</v>
      </c>
      <c r="D143" s="2" t="s">
        <v>204</v>
      </c>
      <c r="E143" s="2" t="s">
        <v>9</v>
      </c>
      <c r="F143" s="3">
        <v>46015</v>
      </c>
      <c r="G143">
        <f t="shared" si="6"/>
        <v>1</v>
      </c>
      <c r="H143">
        <f t="shared" si="7"/>
        <v>0</v>
      </c>
      <c r="I143">
        <f t="shared" si="8"/>
        <v>0</v>
      </c>
    </row>
    <row r="144" spans="1:9" x14ac:dyDescent="0.3">
      <c r="A144" s="2" t="s">
        <v>352</v>
      </c>
      <c r="B144" s="2" t="s">
        <v>353</v>
      </c>
      <c r="C144" s="2" t="s">
        <v>16</v>
      </c>
      <c r="D144" s="2" t="s">
        <v>17</v>
      </c>
      <c r="E144" s="2" t="s">
        <v>9</v>
      </c>
      <c r="F144" s="3">
        <v>46014</v>
      </c>
      <c r="G144">
        <f t="shared" si="6"/>
        <v>0</v>
      </c>
      <c r="H144">
        <f t="shared" si="7"/>
        <v>0.2</v>
      </c>
      <c r="I144">
        <f t="shared" si="8"/>
        <v>0</v>
      </c>
    </row>
    <row r="145" spans="1:10" x14ac:dyDescent="0.3">
      <c r="A145" s="2" t="s">
        <v>354</v>
      </c>
      <c r="B145" s="2" t="s">
        <v>355</v>
      </c>
      <c r="C145" s="2" t="s">
        <v>16</v>
      </c>
      <c r="D145" s="2" t="s">
        <v>17</v>
      </c>
      <c r="E145" s="2" t="s">
        <v>9</v>
      </c>
      <c r="F145" s="3">
        <v>46015</v>
      </c>
      <c r="G145">
        <f t="shared" si="6"/>
        <v>0</v>
      </c>
      <c r="H145">
        <f t="shared" si="7"/>
        <v>0.2</v>
      </c>
      <c r="I145">
        <f t="shared" si="8"/>
        <v>0</v>
      </c>
    </row>
    <row r="146" spans="1:10" x14ac:dyDescent="0.3">
      <c r="A146" s="2" t="s">
        <v>356</v>
      </c>
      <c r="B146" s="2" t="s">
        <v>357</v>
      </c>
      <c r="C146" s="2" t="s">
        <v>7</v>
      </c>
      <c r="D146" s="2" t="s">
        <v>55</v>
      </c>
      <c r="E146" s="2" t="s">
        <v>9</v>
      </c>
      <c r="F146" s="3">
        <v>46015</v>
      </c>
      <c r="G146">
        <f t="shared" si="6"/>
        <v>1</v>
      </c>
      <c r="H146">
        <f t="shared" si="7"/>
        <v>0</v>
      </c>
      <c r="I146">
        <f t="shared" si="8"/>
        <v>0</v>
      </c>
    </row>
    <row r="147" spans="1:10" x14ac:dyDescent="0.3">
      <c r="A147" s="2" t="s">
        <v>358</v>
      </c>
      <c r="B147" s="2" t="s">
        <v>359</v>
      </c>
      <c r="C147" s="2" t="s">
        <v>7</v>
      </c>
      <c r="D147" s="2" t="s">
        <v>34</v>
      </c>
      <c r="E147" s="2" t="s">
        <v>9</v>
      </c>
      <c r="F147" s="3">
        <v>46015</v>
      </c>
      <c r="G147">
        <f t="shared" si="6"/>
        <v>1</v>
      </c>
      <c r="H147">
        <f t="shared" si="7"/>
        <v>0</v>
      </c>
      <c r="I147">
        <f t="shared" si="8"/>
        <v>0</v>
      </c>
    </row>
    <row r="148" spans="1:10" x14ac:dyDescent="0.3">
      <c r="A148" s="2" t="s">
        <v>360</v>
      </c>
      <c r="B148" s="2" t="s">
        <v>361</v>
      </c>
      <c r="C148" s="2" t="s">
        <v>7</v>
      </c>
      <c r="D148" s="2" t="s">
        <v>69</v>
      </c>
      <c r="E148" s="2" t="s">
        <v>74</v>
      </c>
      <c r="F148" s="3">
        <v>46015</v>
      </c>
      <c r="G148">
        <f t="shared" si="6"/>
        <v>1</v>
      </c>
      <c r="H148">
        <f t="shared" si="7"/>
        <v>0</v>
      </c>
      <c r="I148">
        <f t="shared" si="8"/>
        <v>0</v>
      </c>
    </row>
    <row r="149" spans="1:10" x14ac:dyDescent="0.3">
      <c r="A149" s="2" t="s">
        <v>362</v>
      </c>
      <c r="B149" s="2" t="s">
        <v>363</v>
      </c>
      <c r="C149" s="2" t="s">
        <v>16</v>
      </c>
      <c r="D149" s="2" t="s">
        <v>272</v>
      </c>
      <c r="E149" s="2" t="s">
        <v>9</v>
      </c>
      <c r="F149" s="2" t="s">
        <v>4</v>
      </c>
      <c r="G149">
        <f t="shared" si="6"/>
        <v>0</v>
      </c>
      <c r="H149">
        <f t="shared" si="7"/>
        <v>0.2</v>
      </c>
      <c r="I149">
        <f t="shared" si="8"/>
        <v>0</v>
      </c>
    </row>
    <row r="150" spans="1:10" x14ac:dyDescent="0.3">
      <c r="A150" s="2" t="s">
        <v>364</v>
      </c>
      <c r="B150" s="2" t="s">
        <v>365</v>
      </c>
      <c r="C150" s="2" t="s">
        <v>16</v>
      </c>
      <c r="D150" s="2" t="s">
        <v>272</v>
      </c>
      <c r="E150" s="2" t="s">
        <v>9</v>
      </c>
      <c r="F150" s="3">
        <v>46015</v>
      </c>
      <c r="G150">
        <f t="shared" si="6"/>
        <v>0</v>
      </c>
      <c r="H150">
        <f t="shared" si="7"/>
        <v>0.2</v>
      </c>
      <c r="I150">
        <f t="shared" si="8"/>
        <v>0</v>
      </c>
    </row>
    <row r="151" spans="1:10" x14ac:dyDescent="0.3">
      <c r="A151" s="2" t="s">
        <v>366</v>
      </c>
      <c r="B151" s="2" t="s">
        <v>367</v>
      </c>
      <c r="C151" s="2" t="s">
        <v>16</v>
      </c>
      <c r="D151" s="2" t="s">
        <v>368</v>
      </c>
      <c r="E151" s="2" t="s">
        <v>9</v>
      </c>
      <c r="F151" s="3">
        <v>46013</v>
      </c>
      <c r="G151">
        <f t="shared" si="6"/>
        <v>0</v>
      </c>
      <c r="H151">
        <f t="shared" si="7"/>
        <v>0.2</v>
      </c>
      <c r="I151">
        <f t="shared" si="8"/>
        <v>0</v>
      </c>
    </row>
    <row r="152" spans="1:10" x14ac:dyDescent="0.3">
      <c r="A152" s="2" t="s">
        <v>369</v>
      </c>
      <c r="B152" s="2" t="s">
        <v>370</v>
      </c>
      <c r="C152" s="2" t="s">
        <v>16</v>
      </c>
      <c r="D152" s="2" t="s">
        <v>100</v>
      </c>
      <c r="E152" s="2" t="s">
        <v>9</v>
      </c>
      <c r="F152" s="3">
        <v>46010</v>
      </c>
      <c r="G152">
        <f t="shared" si="6"/>
        <v>0</v>
      </c>
      <c r="H152">
        <f t="shared" si="7"/>
        <v>0.2</v>
      </c>
      <c r="I152">
        <f t="shared" si="8"/>
        <v>0</v>
      </c>
    </row>
    <row r="153" spans="1:10" x14ac:dyDescent="0.3">
      <c r="A153" s="2" t="s">
        <v>371</v>
      </c>
      <c r="B153" s="2" t="s">
        <v>372</v>
      </c>
      <c r="C153" s="2" t="s">
        <v>7</v>
      </c>
      <c r="D153" s="2" t="s">
        <v>165</v>
      </c>
      <c r="E153" s="2" t="s">
        <v>9</v>
      </c>
      <c r="F153" s="3">
        <v>46015</v>
      </c>
      <c r="G153">
        <f t="shared" si="6"/>
        <v>1</v>
      </c>
      <c r="H153">
        <f t="shared" si="7"/>
        <v>0</v>
      </c>
      <c r="I153">
        <f t="shared" si="8"/>
        <v>0</v>
      </c>
    </row>
    <row r="154" spans="1:10" x14ac:dyDescent="0.3">
      <c r="A154" s="2" t="s">
        <v>373</v>
      </c>
      <c r="B154" s="2" t="s">
        <v>374</v>
      </c>
      <c r="C154" s="2" t="s">
        <v>7</v>
      </c>
      <c r="D154" s="2" t="s">
        <v>375</v>
      </c>
      <c r="E154" s="2" t="s">
        <v>9</v>
      </c>
      <c r="F154" s="3">
        <v>46015</v>
      </c>
      <c r="G154">
        <f t="shared" si="6"/>
        <v>1</v>
      </c>
      <c r="H154">
        <f t="shared" si="7"/>
        <v>0</v>
      </c>
      <c r="I154">
        <f t="shared" si="8"/>
        <v>0</v>
      </c>
    </row>
    <row r="155" spans="1:10" x14ac:dyDescent="0.3">
      <c r="A155" s="2" t="s">
        <v>376</v>
      </c>
      <c r="B155" s="2" t="s">
        <v>377</v>
      </c>
      <c r="C155" s="2" t="s">
        <v>12</v>
      </c>
      <c r="D155" s="2" t="s">
        <v>13</v>
      </c>
      <c r="E155" s="2" t="s">
        <v>9</v>
      </c>
      <c r="F155" s="3">
        <v>45891</v>
      </c>
      <c r="G155">
        <f t="shared" si="6"/>
        <v>0</v>
      </c>
      <c r="H155">
        <f t="shared" si="7"/>
        <v>0</v>
      </c>
      <c r="I155">
        <f t="shared" si="8"/>
        <v>3.3000000000000002E-2</v>
      </c>
    </row>
    <row r="156" spans="1:10" x14ac:dyDescent="0.3">
      <c r="A156" s="2" t="s">
        <v>378</v>
      </c>
      <c r="B156" s="2" t="s">
        <v>379</v>
      </c>
      <c r="C156" s="2" t="s">
        <v>12</v>
      </c>
      <c r="D156" s="2" t="s">
        <v>69</v>
      </c>
      <c r="E156" s="2" t="s">
        <v>9</v>
      </c>
      <c r="F156" s="3">
        <v>46006</v>
      </c>
      <c r="G156">
        <f t="shared" si="6"/>
        <v>0</v>
      </c>
      <c r="H156">
        <f t="shared" si="7"/>
        <v>0</v>
      </c>
      <c r="I156">
        <f t="shared" si="8"/>
        <v>3.3000000000000002E-2</v>
      </c>
    </row>
    <row r="157" spans="1:10" x14ac:dyDescent="0.3">
      <c r="A157" s="2" t="s">
        <v>380</v>
      </c>
      <c r="B157" s="2" t="s">
        <v>381</v>
      </c>
      <c r="C157" s="2" t="s">
        <v>16</v>
      </c>
      <c r="D157" s="2" t="s">
        <v>17</v>
      </c>
      <c r="E157" s="2" t="s">
        <v>9</v>
      </c>
      <c r="F157" s="3">
        <v>46015</v>
      </c>
      <c r="G157">
        <f t="shared" si="6"/>
        <v>0</v>
      </c>
      <c r="H157">
        <f t="shared" si="7"/>
        <v>0.2</v>
      </c>
      <c r="I157">
        <f t="shared" si="8"/>
        <v>0</v>
      </c>
    </row>
    <row r="158" spans="1:10" x14ac:dyDescent="0.3">
      <c r="A158" s="2" t="s">
        <v>382</v>
      </c>
      <c r="B158" s="2" t="s">
        <v>383</v>
      </c>
      <c r="C158" s="2" t="s">
        <v>16</v>
      </c>
      <c r="D158" s="2" t="s">
        <v>42</v>
      </c>
      <c r="E158" s="2" t="s">
        <v>9</v>
      </c>
      <c r="F158" s="3">
        <v>46015</v>
      </c>
      <c r="G158">
        <f t="shared" si="6"/>
        <v>0</v>
      </c>
      <c r="H158">
        <f t="shared" si="7"/>
        <v>0.2</v>
      </c>
      <c r="I158">
        <f t="shared" si="8"/>
        <v>0</v>
      </c>
    </row>
    <row r="159" spans="1:10" x14ac:dyDescent="0.3">
      <c r="G159">
        <f>SUM(G2:G158)</f>
        <v>44</v>
      </c>
      <c r="H159">
        <f>SUM(H2:H158)</f>
        <v>14.399999999999981</v>
      </c>
      <c r="I159">
        <f>SUM(I2:I158)</f>
        <v>0.82500000000000051</v>
      </c>
      <c r="J159">
        <f>SUM(G159:I159)</f>
        <v>59.22499999999998</v>
      </c>
    </row>
  </sheetData>
  <phoneticPr fontId="0" type="noConversion"/>
  <pageMargins left="0.75" right="0.75" top="1" bottom="1" header="0.5" footer="0.5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Template>Normal.dotm</Template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Data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SAP WebAS</dc:creator>
  <cp:keywords/>
  <dc:description/>
  <cp:lastModifiedBy>Nicolás Vera</cp:lastModifiedBy>
  <cp:revision>1</cp:revision>
  <dcterms:created xsi:type="dcterms:W3CDTF">2025-12-24T14:54:20Z</dcterms:created>
  <dcterms:modified xsi:type="dcterms:W3CDTF">2025-12-29T13:08:29Z</dcterms:modified>
  <cp:category/>
  <cp:contentStatus/>
</cp:coreProperties>
</file>